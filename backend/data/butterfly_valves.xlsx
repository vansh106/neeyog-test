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Z:\FINAL PRICELIST - 2022\1) Aluminium BFV Pricelist\"/>
    </mc:Choice>
  </mc:AlternateContent>
  <xr:revisionPtr revIDLastSave="0" documentId="13_ncr:1_{C6D64D20-9885-45FB-B0DF-20C8E40653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 BFV Pricelist" sheetId="5" r:id="rId1"/>
  </sheets>
  <definedNames>
    <definedName name="_xlnm.Print_Area" localSheetId="0">'Al BFV Pricelist'!$B$5:$I$168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0" i="5" l="1"/>
  <c r="V151" i="5"/>
  <c r="V152" i="5"/>
  <c r="V153" i="5"/>
  <c r="V154" i="5"/>
  <c r="V155" i="5"/>
  <c r="V156" i="5"/>
  <c r="V157" i="5"/>
  <c r="V158" i="5"/>
  <c r="V159" i="5"/>
  <c r="N150" i="5"/>
  <c r="N151" i="5"/>
  <c r="N152" i="5"/>
  <c r="N153" i="5"/>
  <c r="N154" i="5"/>
  <c r="N155" i="5"/>
  <c r="N156" i="5"/>
  <c r="N157" i="5"/>
  <c r="N158" i="5"/>
  <c r="N159" i="5"/>
  <c r="V149" i="5"/>
  <c r="N149" i="5"/>
  <c r="V137" i="5"/>
  <c r="V138" i="5"/>
  <c r="V139" i="5"/>
  <c r="V140" i="5"/>
  <c r="V141" i="5"/>
  <c r="V142" i="5"/>
  <c r="V143" i="5"/>
  <c r="V144" i="5"/>
  <c r="V145" i="5"/>
  <c r="V146" i="5"/>
  <c r="V136" i="5"/>
  <c r="N137" i="5"/>
  <c r="N138" i="5"/>
  <c r="N139" i="5"/>
  <c r="N140" i="5"/>
  <c r="N141" i="5"/>
  <c r="N142" i="5"/>
  <c r="N143" i="5"/>
  <c r="N144" i="5"/>
  <c r="N145" i="5"/>
  <c r="N146" i="5"/>
  <c r="N136" i="5"/>
  <c r="V123" i="5"/>
  <c r="V124" i="5"/>
  <c r="V125" i="5"/>
  <c r="V126" i="5"/>
  <c r="V127" i="5"/>
  <c r="V128" i="5"/>
  <c r="V129" i="5"/>
  <c r="V130" i="5"/>
  <c r="V131" i="5"/>
  <c r="V132" i="5"/>
  <c r="V122" i="5"/>
  <c r="N123" i="5"/>
  <c r="N124" i="5"/>
  <c r="N125" i="5"/>
  <c r="N126" i="5"/>
  <c r="N127" i="5"/>
  <c r="N128" i="5"/>
  <c r="N129" i="5"/>
  <c r="N130" i="5"/>
  <c r="N131" i="5"/>
  <c r="N132" i="5"/>
  <c r="N122" i="5"/>
  <c r="V110" i="5"/>
  <c r="V111" i="5"/>
  <c r="V112" i="5"/>
  <c r="V113" i="5"/>
  <c r="V114" i="5"/>
  <c r="V115" i="5"/>
  <c r="V116" i="5"/>
  <c r="V117" i="5"/>
  <c r="V118" i="5"/>
  <c r="V119" i="5"/>
  <c r="V109" i="5"/>
  <c r="N110" i="5"/>
  <c r="N111" i="5"/>
  <c r="N112" i="5"/>
  <c r="N113" i="5"/>
  <c r="N114" i="5"/>
  <c r="N115" i="5"/>
  <c r="N116" i="5"/>
  <c r="N117" i="5"/>
  <c r="N118" i="5"/>
  <c r="N119" i="5"/>
  <c r="N109" i="5"/>
  <c r="V97" i="5"/>
  <c r="V98" i="5"/>
  <c r="V99" i="5"/>
  <c r="V100" i="5"/>
  <c r="V101" i="5"/>
  <c r="V102" i="5"/>
  <c r="V103" i="5"/>
  <c r="V104" i="5"/>
  <c r="V105" i="5"/>
  <c r="V106" i="5"/>
  <c r="V96" i="5"/>
  <c r="N97" i="5"/>
  <c r="N98" i="5"/>
  <c r="N99" i="5"/>
  <c r="N100" i="5"/>
  <c r="N101" i="5"/>
  <c r="N102" i="5"/>
  <c r="N103" i="5"/>
  <c r="N104" i="5"/>
  <c r="N105" i="5"/>
  <c r="N106" i="5"/>
  <c r="N96" i="5"/>
  <c r="V84" i="5"/>
  <c r="V85" i="5"/>
  <c r="V86" i="5"/>
  <c r="V87" i="5"/>
  <c r="V88" i="5"/>
  <c r="V89" i="5"/>
  <c r="V90" i="5"/>
  <c r="V91" i="5"/>
  <c r="V92" i="5"/>
  <c r="V93" i="5"/>
  <c r="V83" i="5"/>
  <c r="N84" i="5"/>
  <c r="N85" i="5"/>
  <c r="N86" i="5"/>
  <c r="N87" i="5"/>
  <c r="N88" i="5"/>
  <c r="N89" i="5"/>
  <c r="N90" i="5"/>
  <c r="N91" i="5"/>
  <c r="N92" i="5"/>
  <c r="N93" i="5"/>
  <c r="N83" i="5"/>
  <c r="V71" i="5"/>
  <c r="V72" i="5"/>
  <c r="V73" i="5"/>
  <c r="V74" i="5"/>
  <c r="V75" i="5"/>
  <c r="V76" i="5"/>
  <c r="V77" i="5"/>
  <c r="V78" i="5"/>
  <c r="V79" i="5"/>
  <c r="V80" i="5"/>
  <c r="V70" i="5"/>
  <c r="N71" i="5"/>
  <c r="N72" i="5"/>
  <c r="N73" i="5"/>
  <c r="N74" i="5"/>
  <c r="N75" i="5"/>
  <c r="N76" i="5"/>
  <c r="N77" i="5"/>
  <c r="N78" i="5"/>
  <c r="N79" i="5"/>
  <c r="N80" i="5"/>
  <c r="N70" i="5"/>
  <c r="V57" i="5"/>
  <c r="V58" i="5"/>
  <c r="V59" i="5"/>
  <c r="V60" i="5"/>
  <c r="V61" i="5"/>
  <c r="V62" i="5"/>
  <c r="V63" i="5"/>
  <c r="V64" i="5"/>
  <c r="V65" i="5"/>
  <c r="V66" i="5"/>
  <c r="V56" i="5"/>
  <c r="N57" i="5"/>
  <c r="N58" i="5"/>
  <c r="N59" i="5"/>
  <c r="N60" i="5"/>
  <c r="N61" i="5"/>
  <c r="N62" i="5"/>
  <c r="N63" i="5"/>
  <c r="N64" i="5"/>
  <c r="N65" i="5"/>
  <c r="N66" i="5"/>
  <c r="N56" i="5"/>
  <c r="N44" i="5"/>
  <c r="N45" i="5"/>
  <c r="N46" i="5"/>
  <c r="N47" i="5"/>
  <c r="N48" i="5"/>
  <c r="N49" i="5"/>
  <c r="N50" i="5"/>
  <c r="N51" i="5"/>
  <c r="N52" i="5"/>
  <c r="N53" i="5"/>
  <c r="N43" i="5"/>
  <c r="V44" i="5"/>
  <c r="V45" i="5"/>
  <c r="V46" i="5"/>
  <c r="V47" i="5"/>
  <c r="V48" i="5"/>
  <c r="V49" i="5"/>
  <c r="V50" i="5"/>
  <c r="V51" i="5"/>
  <c r="V52" i="5"/>
  <c r="V53" i="5"/>
  <c r="V43" i="5"/>
  <c r="V31" i="5"/>
  <c r="V32" i="5"/>
  <c r="V33" i="5"/>
  <c r="V34" i="5"/>
  <c r="V35" i="5"/>
  <c r="V36" i="5"/>
  <c r="V37" i="5"/>
  <c r="V38" i="5"/>
  <c r="V39" i="5"/>
  <c r="V40" i="5"/>
  <c r="V30" i="5"/>
  <c r="N31" i="5"/>
  <c r="N32" i="5"/>
  <c r="N33" i="5"/>
  <c r="N34" i="5"/>
  <c r="N35" i="5"/>
  <c r="N36" i="5"/>
  <c r="N37" i="5"/>
  <c r="N38" i="5"/>
  <c r="N39" i="5"/>
  <c r="N40" i="5"/>
  <c r="N30" i="5"/>
  <c r="W132" i="5" l="1"/>
  <c r="O132" i="5"/>
  <c r="W131" i="5"/>
  <c r="O131" i="5"/>
  <c r="W130" i="5"/>
  <c r="O130" i="5"/>
  <c r="W129" i="5"/>
  <c r="O129" i="5"/>
  <c r="W128" i="5"/>
  <c r="O128" i="5"/>
  <c r="W127" i="5"/>
  <c r="O127" i="5"/>
  <c r="W126" i="5"/>
  <c r="O126" i="5"/>
  <c r="W125" i="5"/>
  <c r="O125" i="5"/>
  <c r="W124" i="5"/>
  <c r="O124" i="5"/>
  <c r="W123" i="5"/>
  <c r="O123" i="5"/>
  <c r="W122" i="5"/>
  <c r="O122" i="5"/>
  <c r="W119" i="5"/>
  <c r="O119" i="5"/>
  <c r="W118" i="5"/>
  <c r="O118" i="5"/>
  <c r="W117" i="5"/>
  <c r="O117" i="5"/>
  <c r="W116" i="5"/>
  <c r="O116" i="5"/>
  <c r="W115" i="5"/>
  <c r="O115" i="5"/>
  <c r="W114" i="5"/>
  <c r="O114" i="5"/>
  <c r="W113" i="5"/>
  <c r="O113" i="5"/>
  <c r="W112" i="5"/>
  <c r="O112" i="5"/>
  <c r="W111" i="5"/>
  <c r="O111" i="5"/>
  <c r="W110" i="5"/>
  <c r="O110" i="5"/>
  <c r="W109" i="5"/>
  <c r="O109" i="5"/>
  <c r="W106" i="5"/>
  <c r="O106" i="5"/>
  <c r="W105" i="5"/>
  <c r="O105" i="5"/>
  <c r="W104" i="5"/>
  <c r="O104" i="5"/>
  <c r="W103" i="5"/>
  <c r="O103" i="5"/>
  <c r="W102" i="5"/>
  <c r="O102" i="5"/>
  <c r="W101" i="5"/>
  <c r="O101" i="5"/>
  <c r="W100" i="5"/>
  <c r="O100" i="5"/>
  <c r="W99" i="5"/>
  <c r="O99" i="5"/>
  <c r="W98" i="5"/>
  <c r="O98" i="5"/>
  <c r="W97" i="5"/>
  <c r="O97" i="5"/>
  <c r="W96" i="5"/>
  <c r="O96" i="5"/>
  <c r="W93" i="5"/>
  <c r="O93" i="5"/>
  <c r="W92" i="5"/>
  <c r="O92" i="5"/>
  <c r="W91" i="5"/>
  <c r="O91" i="5"/>
  <c r="W90" i="5"/>
  <c r="O90" i="5"/>
  <c r="W89" i="5"/>
  <c r="O89" i="5"/>
  <c r="W88" i="5"/>
  <c r="O88" i="5"/>
  <c r="W87" i="5"/>
  <c r="O87" i="5"/>
  <c r="W86" i="5"/>
  <c r="O86" i="5"/>
  <c r="W85" i="5"/>
  <c r="O85" i="5"/>
  <c r="W84" i="5"/>
  <c r="O84" i="5"/>
  <c r="W83" i="5"/>
  <c r="O83" i="5"/>
  <c r="W80" i="5"/>
  <c r="O80" i="5"/>
  <c r="W79" i="5"/>
  <c r="O79" i="5"/>
  <c r="W78" i="5"/>
  <c r="O78" i="5"/>
  <c r="W77" i="5"/>
  <c r="O77" i="5"/>
  <c r="W76" i="5"/>
  <c r="O76" i="5"/>
  <c r="W75" i="5"/>
  <c r="O75" i="5"/>
  <c r="W74" i="5"/>
  <c r="O74" i="5"/>
  <c r="W73" i="5"/>
  <c r="O73" i="5"/>
  <c r="W72" i="5"/>
  <c r="O72" i="5"/>
  <c r="W71" i="5"/>
  <c r="O71" i="5"/>
  <c r="W70" i="5"/>
  <c r="O70" i="5"/>
  <c r="W66" i="5"/>
  <c r="O66" i="5"/>
  <c r="W65" i="5"/>
  <c r="O65" i="5"/>
  <c r="W64" i="5"/>
  <c r="O64" i="5"/>
  <c r="W63" i="5"/>
  <c r="O63" i="5"/>
  <c r="W62" i="5"/>
  <c r="O62" i="5"/>
  <c r="W61" i="5"/>
  <c r="O61" i="5"/>
  <c r="W60" i="5"/>
  <c r="O60" i="5"/>
  <c r="W59" i="5"/>
  <c r="O59" i="5"/>
  <c r="W58" i="5"/>
  <c r="O58" i="5"/>
  <c r="W57" i="5"/>
  <c r="O57" i="5"/>
  <c r="W56" i="5"/>
  <c r="O56" i="5"/>
  <c r="O136" i="5"/>
  <c r="W136" i="5"/>
  <c r="O137" i="5"/>
  <c r="W137" i="5"/>
  <c r="O138" i="5"/>
  <c r="W138" i="5"/>
  <c r="O139" i="5"/>
  <c r="W139" i="5"/>
  <c r="O140" i="5"/>
  <c r="W140" i="5"/>
  <c r="O141" i="5"/>
  <c r="W141" i="5"/>
  <c r="O142" i="5"/>
  <c r="W142" i="5"/>
  <c r="O143" i="5"/>
  <c r="W143" i="5"/>
  <c r="O144" i="5"/>
  <c r="W144" i="5"/>
  <c r="O145" i="5"/>
  <c r="W145" i="5"/>
  <c r="O146" i="5"/>
  <c r="W146" i="5"/>
  <c r="O149" i="5"/>
  <c r="W149" i="5"/>
  <c r="O150" i="5"/>
  <c r="W150" i="5"/>
  <c r="O151" i="5"/>
  <c r="W151" i="5"/>
  <c r="O152" i="5"/>
  <c r="W152" i="5"/>
  <c r="O153" i="5"/>
  <c r="W153" i="5"/>
  <c r="O154" i="5"/>
  <c r="W154" i="5"/>
  <c r="O155" i="5"/>
  <c r="W155" i="5"/>
  <c r="O156" i="5"/>
  <c r="W156" i="5"/>
  <c r="O157" i="5"/>
  <c r="W157" i="5"/>
  <c r="O158" i="5"/>
  <c r="W158" i="5"/>
  <c r="O159" i="5"/>
  <c r="W159" i="5"/>
  <c r="W53" i="5"/>
  <c r="O53" i="5"/>
  <c r="W52" i="5"/>
  <c r="O52" i="5"/>
  <c r="W51" i="5"/>
  <c r="O51" i="5"/>
  <c r="W50" i="5"/>
  <c r="O50" i="5"/>
  <c r="W49" i="5"/>
  <c r="O49" i="5"/>
  <c r="W48" i="5"/>
  <c r="O48" i="5"/>
  <c r="W47" i="5"/>
  <c r="O47" i="5"/>
  <c r="W46" i="5"/>
  <c r="O46" i="5"/>
  <c r="W45" i="5"/>
  <c r="O45" i="5"/>
  <c r="W44" i="5"/>
  <c r="O44" i="5"/>
  <c r="W43" i="5"/>
  <c r="O43" i="5"/>
  <c r="W40" i="5"/>
  <c r="O40" i="5"/>
  <c r="W39" i="5"/>
  <c r="O39" i="5"/>
  <c r="W38" i="5"/>
  <c r="O38" i="5"/>
  <c r="W37" i="5"/>
  <c r="O37" i="5"/>
  <c r="W36" i="5"/>
  <c r="O36" i="5"/>
  <c r="W35" i="5"/>
  <c r="O35" i="5"/>
  <c r="W34" i="5"/>
  <c r="O34" i="5"/>
  <c r="W33" i="5"/>
  <c r="O33" i="5"/>
  <c r="W32" i="5"/>
  <c r="O32" i="5"/>
  <c r="W31" i="5"/>
  <c r="O31" i="5"/>
  <c r="W30" i="5"/>
  <c r="O30" i="5"/>
  <c r="P27" i="5"/>
  <c r="Q27" i="5" s="1"/>
  <c r="R27" i="5" s="1"/>
  <c r="L27" i="5"/>
  <c r="M27" i="5" s="1"/>
  <c r="N27" i="5" s="1"/>
  <c r="P26" i="5"/>
  <c r="Q26" i="5" s="1"/>
  <c r="R26" i="5" s="1"/>
  <c r="L26" i="5"/>
  <c r="M26" i="5" s="1"/>
  <c r="N26" i="5" s="1"/>
  <c r="Q25" i="5"/>
  <c r="R25" i="5" s="1"/>
  <c r="M25" i="5"/>
  <c r="N25" i="5" s="1"/>
  <c r="Q24" i="5"/>
  <c r="R24" i="5" s="1"/>
  <c r="M24" i="5"/>
  <c r="N24" i="5" s="1"/>
  <c r="Q23" i="5"/>
  <c r="R23" i="5" s="1"/>
  <c r="M23" i="5"/>
  <c r="N23" i="5" s="1"/>
  <c r="Q22" i="5"/>
  <c r="R22" i="5" s="1"/>
  <c r="M22" i="5"/>
  <c r="N22" i="5" s="1"/>
  <c r="Q21" i="5"/>
  <c r="R21" i="5" s="1"/>
  <c r="M21" i="5"/>
  <c r="N21" i="5" s="1"/>
  <c r="Q20" i="5"/>
  <c r="R20" i="5" s="1"/>
  <c r="M20" i="5"/>
  <c r="N20" i="5" s="1"/>
  <c r="Q19" i="5"/>
  <c r="R19" i="5" s="1"/>
  <c r="M19" i="5"/>
  <c r="N19" i="5" s="1"/>
  <c r="Q18" i="5"/>
  <c r="R18" i="5" s="1"/>
  <c r="M18" i="5"/>
  <c r="N18" i="5" s="1"/>
  <c r="P17" i="5"/>
  <c r="Q17" i="5" s="1"/>
  <c r="R17" i="5" s="1"/>
  <c r="L17" i="5"/>
  <c r="M17" i="5" s="1"/>
  <c r="N17" i="5" s="1"/>
  <c r="P44" i="5" l="1"/>
  <c r="Q44" i="5" s="1"/>
  <c r="P31" i="5"/>
  <c r="Q31" i="5" s="1"/>
  <c r="F18" i="5"/>
  <c r="P45" i="5"/>
  <c r="Q45" i="5" s="1"/>
  <c r="P32" i="5"/>
  <c r="Q32" i="5" s="1"/>
  <c r="F19" i="5"/>
  <c r="P33" i="5"/>
  <c r="Q33" i="5" s="1"/>
  <c r="F20" i="5"/>
  <c r="P46" i="5"/>
  <c r="Q46" i="5" s="1"/>
  <c r="P47" i="5"/>
  <c r="Q47" i="5" s="1"/>
  <c r="P34" i="5"/>
  <c r="Q34" i="5" s="1"/>
  <c r="F21" i="5"/>
  <c r="P35" i="5"/>
  <c r="Q35" i="5" s="1"/>
  <c r="P48" i="5"/>
  <c r="Q48" i="5" s="1"/>
  <c r="F22" i="5"/>
  <c r="P49" i="5"/>
  <c r="Q49" i="5" s="1"/>
  <c r="P36" i="5"/>
  <c r="Q36" i="5" s="1"/>
  <c r="F23" i="5"/>
  <c r="P37" i="5"/>
  <c r="Q37" i="5" s="1"/>
  <c r="F24" i="5"/>
  <c r="P50" i="5"/>
  <c r="Q50" i="5" s="1"/>
  <c r="P51" i="5"/>
  <c r="Q51" i="5" s="1"/>
  <c r="P38" i="5"/>
  <c r="Q38" i="5" s="1"/>
  <c r="F25" i="5"/>
  <c r="P52" i="5"/>
  <c r="Q52" i="5" s="1"/>
  <c r="P39" i="5"/>
  <c r="Q39" i="5" s="1"/>
  <c r="F26" i="5"/>
  <c r="X52" i="5"/>
  <c r="Y52" i="5" s="1"/>
  <c r="H26" i="5"/>
  <c r="X39" i="5"/>
  <c r="Y39" i="5" s="1"/>
  <c r="P43" i="5"/>
  <c r="Q43" i="5" s="1"/>
  <c r="P30" i="5"/>
  <c r="Q30" i="5" s="1"/>
  <c r="F17" i="5"/>
  <c r="H17" i="5"/>
  <c r="X30" i="5"/>
  <c r="Y30" i="5" s="1"/>
  <c r="X43" i="5"/>
  <c r="Y43" i="5" s="1"/>
  <c r="H18" i="5"/>
  <c r="X31" i="5"/>
  <c r="Y31" i="5" s="1"/>
  <c r="X44" i="5"/>
  <c r="Y44" i="5" s="1"/>
  <c r="H19" i="5"/>
  <c r="X32" i="5"/>
  <c r="Y32" i="5" s="1"/>
  <c r="X45" i="5"/>
  <c r="Y45" i="5" s="1"/>
  <c r="X46" i="5"/>
  <c r="Y46" i="5" s="1"/>
  <c r="H20" i="5"/>
  <c r="X33" i="5"/>
  <c r="Y33" i="5" s="1"/>
  <c r="X47" i="5"/>
  <c r="Y47" i="5" s="1"/>
  <c r="H21" i="5"/>
  <c r="X34" i="5"/>
  <c r="Y34" i="5" s="1"/>
  <c r="X48" i="5"/>
  <c r="Y48" i="5" s="1"/>
  <c r="H22" i="5"/>
  <c r="X35" i="5"/>
  <c r="Y35" i="5" s="1"/>
  <c r="X49" i="5"/>
  <c r="Y49" i="5" s="1"/>
  <c r="H23" i="5"/>
  <c r="X36" i="5"/>
  <c r="Y36" i="5" s="1"/>
  <c r="X50" i="5"/>
  <c r="Y50" i="5" s="1"/>
  <c r="H24" i="5"/>
  <c r="X37" i="5"/>
  <c r="Y37" i="5" s="1"/>
  <c r="X51" i="5"/>
  <c r="Y51" i="5" s="1"/>
  <c r="H25" i="5"/>
  <c r="X38" i="5"/>
  <c r="Y38" i="5" s="1"/>
  <c r="P53" i="5"/>
  <c r="Q53" i="5" s="1"/>
  <c r="P40" i="5"/>
  <c r="Q40" i="5" s="1"/>
  <c r="F27" i="5"/>
  <c r="X53" i="5"/>
  <c r="Y53" i="5" s="1"/>
  <c r="H27" i="5"/>
  <c r="X40" i="5"/>
  <c r="Y40" i="5" s="1"/>
  <c r="T132" i="5" l="1"/>
  <c r="X132" i="5" s="1"/>
  <c r="H132" i="5" s="1"/>
  <c r="T80" i="5"/>
  <c r="X80" i="5" s="1"/>
  <c r="T131" i="5"/>
  <c r="X131" i="5" s="1"/>
  <c r="H131" i="5" s="1"/>
  <c r="T79" i="5"/>
  <c r="X79" i="5" s="1"/>
  <c r="L132" i="5"/>
  <c r="P132" i="5" s="1"/>
  <c r="F132" i="5" s="1"/>
  <c r="L80" i="5"/>
  <c r="P80" i="5" s="1"/>
  <c r="L131" i="5"/>
  <c r="P131" i="5" s="1"/>
  <c r="F131" i="5" s="1"/>
  <c r="L79" i="5"/>
  <c r="P79" i="5" s="1"/>
  <c r="T119" i="5"/>
  <c r="X119" i="5" s="1"/>
  <c r="H119" i="5" s="1"/>
  <c r="T66" i="5"/>
  <c r="X66" i="5" s="1"/>
  <c r="L119" i="5"/>
  <c r="P119" i="5" s="1"/>
  <c r="F119" i="5" s="1"/>
  <c r="L66" i="5"/>
  <c r="P66" i="5" s="1"/>
  <c r="T117" i="5"/>
  <c r="X117" i="5" s="1"/>
  <c r="H117" i="5" s="1"/>
  <c r="T64" i="5"/>
  <c r="X64" i="5" s="1"/>
  <c r="T130" i="5"/>
  <c r="X130" i="5" s="1"/>
  <c r="H130" i="5" s="1"/>
  <c r="T78" i="5"/>
  <c r="X78" i="5" s="1"/>
  <c r="T115" i="5"/>
  <c r="X115" i="5" s="1"/>
  <c r="H115" i="5" s="1"/>
  <c r="T62" i="5"/>
  <c r="X62" i="5" s="1"/>
  <c r="T128" i="5"/>
  <c r="X128" i="5" s="1"/>
  <c r="H128" i="5" s="1"/>
  <c r="T76" i="5"/>
  <c r="X76" i="5" s="1"/>
  <c r="T113" i="5"/>
  <c r="X113" i="5" s="1"/>
  <c r="H113" i="5" s="1"/>
  <c r="T60" i="5"/>
  <c r="X60" i="5" s="1"/>
  <c r="T126" i="5"/>
  <c r="X126" i="5" s="1"/>
  <c r="H126" i="5" s="1"/>
  <c r="T74" i="5"/>
  <c r="X74" i="5" s="1"/>
  <c r="T124" i="5"/>
  <c r="X124" i="5" s="1"/>
  <c r="H124" i="5" s="1"/>
  <c r="T72" i="5"/>
  <c r="X72" i="5" s="1"/>
  <c r="T110" i="5"/>
  <c r="X110" i="5" s="1"/>
  <c r="H110" i="5" s="1"/>
  <c r="T57" i="5"/>
  <c r="X57" i="5" s="1"/>
  <c r="T122" i="5"/>
  <c r="X122" i="5" s="1"/>
  <c r="H122" i="5" s="1"/>
  <c r="T70" i="5"/>
  <c r="X70" i="5" s="1"/>
  <c r="L109" i="5"/>
  <c r="P109" i="5" s="1"/>
  <c r="F109" i="5" s="1"/>
  <c r="L56" i="5"/>
  <c r="P56" i="5" s="1"/>
  <c r="T118" i="5"/>
  <c r="X118" i="5" s="1"/>
  <c r="H118" i="5" s="1"/>
  <c r="T65" i="5"/>
  <c r="X65" i="5" s="1"/>
  <c r="L118" i="5"/>
  <c r="P118" i="5" s="1"/>
  <c r="F118" i="5" s="1"/>
  <c r="L65" i="5"/>
  <c r="P65" i="5" s="1"/>
  <c r="L130" i="5"/>
  <c r="P130" i="5" s="1"/>
  <c r="F130" i="5" s="1"/>
  <c r="L78" i="5"/>
  <c r="P78" i="5" s="1"/>
  <c r="L128" i="5"/>
  <c r="P128" i="5" s="1"/>
  <c r="F128" i="5" s="1"/>
  <c r="L76" i="5"/>
  <c r="P76" i="5" s="1"/>
  <c r="L127" i="5"/>
  <c r="P127" i="5" s="1"/>
  <c r="F127" i="5" s="1"/>
  <c r="L75" i="5"/>
  <c r="P75" i="5" s="1"/>
  <c r="L126" i="5"/>
  <c r="P126" i="5" s="1"/>
  <c r="F126" i="5" s="1"/>
  <c r="L74" i="5"/>
  <c r="P74" i="5" s="1"/>
  <c r="L124" i="5"/>
  <c r="P124" i="5" s="1"/>
  <c r="F124" i="5" s="1"/>
  <c r="L72" i="5"/>
  <c r="P72" i="5" s="1"/>
  <c r="L110" i="5"/>
  <c r="P110" i="5" s="1"/>
  <c r="F110" i="5" s="1"/>
  <c r="L57" i="5"/>
  <c r="P57" i="5" s="1"/>
  <c r="T116" i="5"/>
  <c r="X116" i="5" s="1"/>
  <c r="H116" i="5" s="1"/>
  <c r="T63" i="5"/>
  <c r="X63" i="5" s="1"/>
  <c r="T129" i="5"/>
  <c r="X129" i="5" s="1"/>
  <c r="H129" i="5" s="1"/>
  <c r="T77" i="5"/>
  <c r="X77" i="5" s="1"/>
  <c r="T114" i="5"/>
  <c r="X114" i="5" s="1"/>
  <c r="H114" i="5" s="1"/>
  <c r="T61" i="5"/>
  <c r="X61" i="5" s="1"/>
  <c r="T127" i="5"/>
  <c r="X127" i="5" s="1"/>
  <c r="H127" i="5" s="1"/>
  <c r="T75" i="5"/>
  <c r="X75" i="5" s="1"/>
  <c r="T112" i="5"/>
  <c r="X112" i="5" s="1"/>
  <c r="H112" i="5" s="1"/>
  <c r="T59" i="5"/>
  <c r="X59" i="5" s="1"/>
  <c r="T125" i="5"/>
  <c r="X125" i="5" s="1"/>
  <c r="H125" i="5" s="1"/>
  <c r="T73" i="5"/>
  <c r="X73" i="5" s="1"/>
  <c r="T111" i="5"/>
  <c r="X111" i="5" s="1"/>
  <c r="H111" i="5" s="1"/>
  <c r="T58" i="5"/>
  <c r="X58" i="5" s="1"/>
  <c r="T123" i="5"/>
  <c r="X123" i="5" s="1"/>
  <c r="H123" i="5" s="1"/>
  <c r="T71" i="5"/>
  <c r="X71" i="5" s="1"/>
  <c r="T109" i="5"/>
  <c r="X109" i="5" s="1"/>
  <c r="H109" i="5" s="1"/>
  <c r="T56" i="5"/>
  <c r="X56" i="5" s="1"/>
  <c r="L122" i="5"/>
  <c r="P122" i="5" s="1"/>
  <c r="F122" i="5" s="1"/>
  <c r="L70" i="5"/>
  <c r="P70" i="5" s="1"/>
  <c r="L117" i="5"/>
  <c r="P117" i="5" s="1"/>
  <c r="F117" i="5" s="1"/>
  <c r="L64" i="5"/>
  <c r="P64" i="5" s="1"/>
  <c r="L129" i="5"/>
  <c r="P129" i="5" s="1"/>
  <c r="F129" i="5" s="1"/>
  <c r="L77" i="5"/>
  <c r="P77" i="5" s="1"/>
  <c r="L116" i="5"/>
  <c r="P116" i="5" s="1"/>
  <c r="F116" i="5" s="1"/>
  <c r="L63" i="5"/>
  <c r="P63" i="5" s="1"/>
  <c r="L115" i="5"/>
  <c r="P115" i="5" s="1"/>
  <c r="F115" i="5" s="1"/>
  <c r="L62" i="5"/>
  <c r="P62" i="5" s="1"/>
  <c r="L114" i="5"/>
  <c r="P114" i="5" s="1"/>
  <c r="F114" i="5" s="1"/>
  <c r="L61" i="5"/>
  <c r="P61" i="5" s="1"/>
  <c r="L113" i="5"/>
  <c r="P113" i="5" s="1"/>
  <c r="F113" i="5" s="1"/>
  <c r="L60" i="5"/>
  <c r="P60" i="5" s="1"/>
  <c r="L125" i="5"/>
  <c r="P125" i="5" s="1"/>
  <c r="F125" i="5" s="1"/>
  <c r="L73" i="5"/>
  <c r="P73" i="5" s="1"/>
  <c r="L112" i="5"/>
  <c r="P112" i="5" s="1"/>
  <c r="F112" i="5" s="1"/>
  <c r="L59" i="5"/>
  <c r="P59" i="5" s="1"/>
  <c r="L111" i="5"/>
  <c r="P111" i="5" s="1"/>
  <c r="F111" i="5" s="1"/>
  <c r="L58" i="5"/>
  <c r="P58" i="5" s="1"/>
  <c r="L123" i="5"/>
  <c r="P123" i="5" s="1"/>
  <c r="F123" i="5" s="1"/>
  <c r="L71" i="5"/>
  <c r="P71" i="5" s="1"/>
  <c r="L159" i="5"/>
  <c r="P159" i="5" s="1"/>
  <c r="F159" i="5" s="1"/>
  <c r="T143" i="5"/>
  <c r="X143" i="5" s="1"/>
  <c r="H143" i="5" s="1"/>
  <c r="T156" i="5"/>
  <c r="X156" i="5" s="1"/>
  <c r="H156" i="5" s="1"/>
  <c r="T141" i="5"/>
  <c r="X141" i="5" s="1"/>
  <c r="H141" i="5" s="1"/>
  <c r="T154" i="5"/>
  <c r="X154" i="5" s="1"/>
  <c r="H154" i="5" s="1"/>
  <c r="T139" i="5"/>
  <c r="X139" i="5" s="1"/>
  <c r="H139" i="5" s="1"/>
  <c r="T152" i="5"/>
  <c r="X152" i="5" s="1"/>
  <c r="H152" i="5" s="1"/>
  <c r="T138" i="5"/>
  <c r="X138" i="5" s="1"/>
  <c r="H138" i="5" s="1"/>
  <c r="T150" i="5"/>
  <c r="X150" i="5" s="1"/>
  <c r="H150" i="5" s="1"/>
  <c r="T136" i="5"/>
  <c r="X136" i="5" s="1"/>
  <c r="H136" i="5" s="1"/>
  <c r="L149" i="5"/>
  <c r="P149" i="5" s="1"/>
  <c r="F149" i="5" s="1"/>
  <c r="L158" i="5"/>
  <c r="P158" i="5" s="1"/>
  <c r="F158" i="5" s="1"/>
  <c r="L144" i="5"/>
  <c r="P144" i="5" s="1"/>
  <c r="F144" i="5" s="1"/>
  <c r="L156" i="5"/>
  <c r="P156" i="5" s="1"/>
  <c r="F156" i="5" s="1"/>
  <c r="L143" i="5"/>
  <c r="P143" i="5" s="1"/>
  <c r="F143" i="5" s="1"/>
  <c r="L142" i="5"/>
  <c r="P142" i="5" s="1"/>
  <c r="F142" i="5" s="1"/>
  <c r="L141" i="5"/>
  <c r="P141" i="5" s="1"/>
  <c r="F141" i="5" s="1"/>
  <c r="L140" i="5"/>
  <c r="P140" i="5" s="1"/>
  <c r="F140" i="5" s="1"/>
  <c r="L152" i="5"/>
  <c r="P152" i="5" s="1"/>
  <c r="F152" i="5" s="1"/>
  <c r="L139" i="5"/>
  <c r="P139" i="5" s="1"/>
  <c r="F139" i="5" s="1"/>
  <c r="L138" i="5"/>
  <c r="P138" i="5" s="1"/>
  <c r="F138" i="5" s="1"/>
  <c r="L150" i="5"/>
  <c r="P150" i="5" s="1"/>
  <c r="F150" i="5" s="1"/>
  <c r="T146" i="5"/>
  <c r="X146" i="5" s="1"/>
  <c r="H146" i="5" s="1"/>
  <c r="T159" i="5"/>
  <c r="X159" i="5" s="1"/>
  <c r="H159" i="5" s="1"/>
  <c r="L146" i="5"/>
  <c r="P146" i="5" s="1"/>
  <c r="F146" i="5" s="1"/>
  <c r="T144" i="5"/>
  <c r="X144" i="5" s="1"/>
  <c r="H144" i="5" s="1"/>
  <c r="T157" i="5"/>
  <c r="X157" i="5" s="1"/>
  <c r="H157" i="5" s="1"/>
  <c r="T142" i="5"/>
  <c r="X142" i="5" s="1"/>
  <c r="H142" i="5" s="1"/>
  <c r="T155" i="5"/>
  <c r="X155" i="5" s="1"/>
  <c r="H155" i="5" s="1"/>
  <c r="T140" i="5"/>
  <c r="X140" i="5" s="1"/>
  <c r="H140" i="5" s="1"/>
  <c r="T153" i="5"/>
  <c r="X153" i="5" s="1"/>
  <c r="H153" i="5" s="1"/>
  <c r="T151" i="5"/>
  <c r="X151" i="5" s="1"/>
  <c r="H151" i="5" s="1"/>
  <c r="T137" i="5"/>
  <c r="X137" i="5" s="1"/>
  <c r="H137" i="5" s="1"/>
  <c r="T149" i="5"/>
  <c r="X149" i="5" s="1"/>
  <c r="H149" i="5" s="1"/>
  <c r="L136" i="5"/>
  <c r="P136" i="5" s="1"/>
  <c r="F136" i="5" s="1"/>
  <c r="T145" i="5"/>
  <c r="X145" i="5" s="1"/>
  <c r="H145" i="5" s="1"/>
  <c r="T158" i="5"/>
  <c r="X158" i="5" s="1"/>
  <c r="H158" i="5" s="1"/>
  <c r="L145" i="5"/>
  <c r="P145" i="5" s="1"/>
  <c r="F145" i="5" s="1"/>
  <c r="L157" i="5"/>
  <c r="P157" i="5" s="1"/>
  <c r="F157" i="5" s="1"/>
  <c r="L155" i="5"/>
  <c r="P155" i="5" s="1"/>
  <c r="F155" i="5" s="1"/>
  <c r="L154" i="5"/>
  <c r="P154" i="5" s="1"/>
  <c r="F154" i="5" s="1"/>
  <c r="L153" i="5"/>
  <c r="P153" i="5" s="1"/>
  <c r="F153" i="5" s="1"/>
  <c r="L151" i="5"/>
  <c r="P151" i="5" s="1"/>
  <c r="F151" i="5" s="1"/>
  <c r="L137" i="5"/>
  <c r="P137" i="5" s="1"/>
  <c r="F137" i="5" s="1"/>
  <c r="H40" i="5"/>
  <c r="H53" i="5"/>
  <c r="F40" i="5"/>
  <c r="H38" i="5"/>
  <c r="H51" i="5"/>
  <c r="H36" i="5"/>
  <c r="H49" i="5"/>
  <c r="H34" i="5"/>
  <c r="H47" i="5"/>
  <c r="H45" i="5"/>
  <c r="H31" i="5"/>
  <c r="H43" i="5"/>
  <c r="F30" i="5"/>
  <c r="H39" i="5"/>
  <c r="H52" i="5"/>
  <c r="F39" i="5"/>
  <c r="F51" i="5"/>
  <c r="F49" i="5"/>
  <c r="F48" i="5"/>
  <c r="F47" i="5"/>
  <c r="F45" i="5"/>
  <c r="F31" i="5"/>
  <c r="F53" i="5"/>
  <c r="H37" i="5"/>
  <c r="H50" i="5"/>
  <c r="H35" i="5"/>
  <c r="H48" i="5"/>
  <c r="H33" i="5"/>
  <c r="H46" i="5"/>
  <c r="H32" i="5"/>
  <c r="H44" i="5"/>
  <c r="H30" i="5"/>
  <c r="F43" i="5"/>
  <c r="F52" i="5"/>
  <c r="F38" i="5"/>
  <c r="F50" i="5"/>
  <c r="F37" i="5"/>
  <c r="F36" i="5"/>
  <c r="F35" i="5"/>
  <c r="F34" i="5"/>
  <c r="F46" i="5"/>
  <c r="F33" i="5"/>
  <c r="F32" i="5"/>
  <c r="F44" i="5"/>
  <c r="H79" i="5" l="1"/>
  <c r="T105" i="5"/>
  <c r="X105" i="5" s="1"/>
  <c r="H105" i="5" s="1"/>
  <c r="H80" i="5"/>
  <c r="T106" i="5"/>
  <c r="X106" i="5" s="1"/>
  <c r="H106" i="5" s="1"/>
  <c r="F79" i="5"/>
  <c r="L105" i="5"/>
  <c r="P105" i="5" s="1"/>
  <c r="F105" i="5" s="1"/>
  <c r="F80" i="5"/>
  <c r="L106" i="5"/>
  <c r="P106" i="5" s="1"/>
  <c r="F106" i="5" s="1"/>
  <c r="H66" i="5"/>
  <c r="T93" i="5"/>
  <c r="X93" i="5" s="1"/>
  <c r="H93" i="5" s="1"/>
  <c r="F66" i="5"/>
  <c r="L93" i="5"/>
  <c r="P93" i="5" s="1"/>
  <c r="F93" i="5" s="1"/>
  <c r="F57" i="5"/>
  <c r="L84" i="5"/>
  <c r="P84" i="5" s="1"/>
  <c r="F84" i="5" s="1"/>
  <c r="F72" i="5"/>
  <c r="L98" i="5"/>
  <c r="P98" i="5" s="1"/>
  <c r="F98" i="5" s="1"/>
  <c r="F74" i="5"/>
  <c r="L100" i="5"/>
  <c r="P100" i="5" s="1"/>
  <c r="F100" i="5" s="1"/>
  <c r="F75" i="5"/>
  <c r="L101" i="5"/>
  <c r="P101" i="5" s="1"/>
  <c r="F101" i="5" s="1"/>
  <c r="F76" i="5"/>
  <c r="L102" i="5"/>
  <c r="P102" i="5" s="1"/>
  <c r="F102" i="5" s="1"/>
  <c r="F78" i="5"/>
  <c r="L104" i="5"/>
  <c r="P104" i="5" s="1"/>
  <c r="F104" i="5" s="1"/>
  <c r="F65" i="5"/>
  <c r="L92" i="5"/>
  <c r="P92" i="5" s="1"/>
  <c r="F92" i="5" s="1"/>
  <c r="H65" i="5"/>
  <c r="T92" i="5"/>
  <c r="X92" i="5" s="1"/>
  <c r="H92" i="5" s="1"/>
  <c r="F56" i="5"/>
  <c r="L83" i="5"/>
  <c r="P83" i="5" s="1"/>
  <c r="F83" i="5" s="1"/>
  <c r="H70" i="5"/>
  <c r="T96" i="5"/>
  <c r="X96" i="5" s="1"/>
  <c r="H96" i="5" s="1"/>
  <c r="H57" i="5"/>
  <c r="T84" i="5"/>
  <c r="X84" i="5" s="1"/>
  <c r="H84" i="5" s="1"/>
  <c r="H72" i="5"/>
  <c r="T98" i="5"/>
  <c r="X98" i="5" s="1"/>
  <c r="H98" i="5" s="1"/>
  <c r="H74" i="5"/>
  <c r="T100" i="5"/>
  <c r="X100" i="5" s="1"/>
  <c r="H100" i="5" s="1"/>
  <c r="H60" i="5"/>
  <c r="T87" i="5"/>
  <c r="X87" i="5" s="1"/>
  <c r="H87" i="5" s="1"/>
  <c r="H76" i="5"/>
  <c r="T102" i="5"/>
  <c r="X102" i="5" s="1"/>
  <c r="H102" i="5" s="1"/>
  <c r="H62" i="5"/>
  <c r="T89" i="5"/>
  <c r="X89" i="5" s="1"/>
  <c r="H89" i="5" s="1"/>
  <c r="H78" i="5"/>
  <c r="T104" i="5"/>
  <c r="X104" i="5" s="1"/>
  <c r="H104" i="5" s="1"/>
  <c r="H64" i="5"/>
  <c r="T91" i="5"/>
  <c r="X91" i="5" s="1"/>
  <c r="H91" i="5" s="1"/>
  <c r="F71" i="5"/>
  <c r="L97" i="5"/>
  <c r="P97" i="5" s="1"/>
  <c r="F97" i="5" s="1"/>
  <c r="F58" i="5"/>
  <c r="L85" i="5"/>
  <c r="P85" i="5" s="1"/>
  <c r="F85" i="5" s="1"/>
  <c r="F59" i="5"/>
  <c r="L86" i="5"/>
  <c r="P86" i="5" s="1"/>
  <c r="F86" i="5" s="1"/>
  <c r="F73" i="5"/>
  <c r="L99" i="5"/>
  <c r="P99" i="5" s="1"/>
  <c r="F99" i="5" s="1"/>
  <c r="F60" i="5"/>
  <c r="L87" i="5"/>
  <c r="P87" i="5" s="1"/>
  <c r="F87" i="5" s="1"/>
  <c r="F61" i="5"/>
  <c r="L88" i="5"/>
  <c r="P88" i="5" s="1"/>
  <c r="F88" i="5" s="1"/>
  <c r="F62" i="5"/>
  <c r="L89" i="5"/>
  <c r="P89" i="5" s="1"/>
  <c r="F89" i="5" s="1"/>
  <c r="F63" i="5"/>
  <c r="L90" i="5"/>
  <c r="P90" i="5" s="1"/>
  <c r="F90" i="5" s="1"/>
  <c r="F77" i="5"/>
  <c r="L103" i="5"/>
  <c r="P103" i="5" s="1"/>
  <c r="F103" i="5" s="1"/>
  <c r="F64" i="5"/>
  <c r="L91" i="5"/>
  <c r="P91" i="5" s="1"/>
  <c r="F91" i="5" s="1"/>
  <c r="F70" i="5"/>
  <c r="L96" i="5"/>
  <c r="P96" i="5" s="1"/>
  <c r="F96" i="5" s="1"/>
  <c r="H56" i="5"/>
  <c r="T83" i="5"/>
  <c r="X83" i="5" s="1"/>
  <c r="H83" i="5" s="1"/>
  <c r="H71" i="5"/>
  <c r="T97" i="5"/>
  <c r="X97" i="5" s="1"/>
  <c r="H97" i="5" s="1"/>
  <c r="H58" i="5"/>
  <c r="T85" i="5"/>
  <c r="X85" i="5" s="1"/>
  <c r="H85" i="5" s="1"/>
  <c r="H73" i="5"/>
  <c r="T99" i="5"/>
  <c r="X99" i="5" s="1"/>
  <c r="H99" i="5" s="1"/>
  <c r="H59" i="5"/>
  <c r="T86" i="5"/>
  <c r="X86" i="5" s="1"/>
  <c r="H86" i="5" s="1"/>
  <c r="H75" i="5"/>
  <c r="T101" i="5"/>
  <c r="X101" i="5" s="1"/>
  <c r="H101" i="5" s="1"/>
  <c r="H61" i="5"/>
  <c r="T88" i="5"/>
  <c r="X88" i="5" s="1"/>
  <c r="H88" i="5" s="1"/>
  <c r="H77" i="5"/>
  <c r="T103" i="5"/>
  <c r="X103" i="5" s="1"/>
  <c r="H103" i="5" s="1"/>
  <c r="H63" i="5"/>
  <c r="T90" i="5"/>
  <c r="X90" i="5" s="1"/>
  <c r="H90" i="5" s="1"/>
</calcChain>
</file>

<file path=xl/sharedStrings.xml><?xml version="1.0" encoding="utf-8"?>
<sst xmlns="http://schemas.openxmlformats.org/spreadsheetml/2006/main" count="673" uniqueCount="122">
  <si>
    <t>pramod@parthvalve.com</t>
  </si>
  <si>
    <t>marketing@parthvalve.com</t>
  </si>
  <si>
    <t>marketing@foodpharmavalves.com</t>
  </si>
  <si>
    <t>Sr No</t>
  </si>
  <si>
    <t>Product Description</t>
  </si>
  <si>
    <t>Image</t>
  </si>
  <si>
    <t>Size</t>
  </si>
  <si>
    <t>DN 150</t>
  </si>
  <si>
    <t>DN 200</t>
  </si>
  <si>
    <t>DN 250</t>
  </si>
  <si>
    <t>DN 300</t>
  </si>
  <si>
    <t>DN 400</t>
  </si>
  <si>
    <t>SS304</t>
  </si>
  <si>
    <t>SS316</t>
  </si>
  <si>
    <t>DN 100</t>
  </si>
  <si>
    <t>DN 450</t>
  </si>
  <si>
    <t>DN 500</t>
  </si>
  <si>
    <t>DN 600</t>
  </si>
  <si>
    <t>DN 125</t>
  </si>
  <si>
    <t>DN 350</t>
  </si>
  <si>
    <t>PARTH VALVES AND HOSES LLP</t>
  </si>
  <si>
    <t xml:space="preserve">Plot No. D-1/21/3/1/3 Road, Near Nagmani Hotel, Thermax chowk, </t>
  </si>
  <si>
    <t>MIDC Chinchwad, Akurdi, Pune -411 019.</t>
  </si>
  <si>
    <t>GST NO.: 27AASFP6216F2ZY</t>
  </si>
  <si>
    <t>DN100</t>
  </si>
  <si>
    <t>DN125</t>
  </si>
  <si>
    <t>DN150</t>
  </si>
  <si>
    <t>DN200</t>
  </si>
  <si>
    <t>DN250</t>
  </si>
  <si>
    <t>DN300</t>
  </si>
  <si>
    <t>DN350</t>
  </si>
  <si>
    <t>DN400</t>
  </si>
  <si>
    <t>DN450</t>
  </si>
  <si>
    <t>DN500</t>
  </si>
  <si>
    <t>DN600</t>
  </si>
  <si>
    <t>AL + Disc SS 304 &amp; EPDM Seat</t>
  </si>
  <si>
    <t>TOTAL COST PER SIZE</t>
  </si>
  <si>
    <t>40% Rise</t>
  </si>
  <si>
    <t>AL + Disc SS 316 &amp; EPDM Seat</t>
  </si>
  <si>
    <t>VALVE + DA ACTUATOR</t>
  </si>
  <si>
    <t>VALVE + SA ACTUATOR</t>
  </si>
  <si>
    <t>VALVE + DA ACTUATOR+LSB</t>
  </si>
  <si>
    <t>VALVE + SA ACTUATOR+LSB</t>
  </si>
  <si>
    <t>VALVE + DA ACTUATOR + LSB + SOV</t>
  </si>
  <si>
    <t>VALVE + SA ACTUATOR + LSB + SOV</t>
  </si>
  <si>
    <t>Valve + DA Actuator + Electro-Pneumatic Positioner</t>
  </si>
  <si>
    <t>Valve + SA Actuator + Electro-Pneumatic Positioner</t>
  </si>
  <si>
    <t xml:space="preserve">Size </t>
  </si>
  <si>
    <t>Act. Model</t>
  </si>
  <si>
    <t>Cost</t>
  </si>
  <si>
    <t>DA 250 Rotex</t>
  </si>
  <si>
    <t>DA 75 Del.</t>
  </si>
  <si>
    <t>DA 85 Del.</t>
  </si>
  <si>
    <t>DA 100 Del.</t>
  </si>
  <si>
    <t>DA 115 Del.</t>
  </si>
  <si>
    <t>DA 150 Del.</t>
  </si>
  <si>
    <t>DA 175 Del.</t>
  </si>
  <si>
    <t>DA 200 Del.</t>
  </si>
  <si>
    <t>SA 250 Rotex</t>
  </si>
  <si>
    <t>SA 85 Del.</t>
  </si>
  <si>
    <t>SA 100 Del.</t>
  </si>
  <si>
    <t>SA 115 Del.</t>
  </si>
  <si>
    <t>SA 125 Del.</t>
  </si>
  <si>
    <t>SA 150 Del.</t>
  </si>
  <si>
    <t>SA 175 Del.</t>
  </si>
  <si>
    <t>SA 200 Del.</t>
  </si>
  <si>
    <t>SA 300 Rotex</t>
  </si>
  <si>
    <t>Valve + SA Actuator + Pneu.- Pneumatic Positioner</t>
  </si>
  <si>
    <t>Seles Price</t>
  </si>
  <si>
    <t>Sales Price</t>
  </si>
  <si>
    <t>Total</t>
  </si>
  <si>
    <t>304  Bare Price</t>
  </si>
  <si>
    <t>316 Bare Price</t>
  </si>
  <si>
    <t>LSB Cost</t>
  </si>
  <si>
    <t>Valve (304)+ DA</t>
  </si>
  <si>
    <t>Valve (316)+ DA</t>
  </si>
  <si>
    <t>Valve (304)+ SA</t>
  </si>
  <si>
    <t>Valve (316)+ SA</t>
  </si>
  <si>
    <t>Val. (304)+ SA+LSB</t>
  </si>
  <si>
    <t>SOV Cost</t>
  </si>
  <si>
    <t>Val. (304)+ DA+LSB</t>
  </si>
  <si>
    <t>Val. (316)+ DA+LSB</t>
  </si>
  <si>
    <t>Val. (316)+ SA+LSB</t>
  </si>
  <si>
    <t>VALVE + DA ACTUATOR + Pneu. - Pneumatic Positioner</t>
  </si>
  <si>
    <t>Pneumatic Positioner Cost</t>
  </si>
  <si>
    <t>Valve 304 + DA Actuator</t>
  </si>
  <si>
    <t>Valve 316 + DA Actuator</t>
  </si>
  <si>
    <t>Valve 304 + SA Actuator</t>
  </si>
  <si>
    <t>Valve 316 + SA Actuator</t>
  </si>
  <si>
    <t>Electro Pneumatic Positioner Cost</t>
  </si>
  <si>
    <t>Terms and Condition :</t>
  </si>
  <si>
    <t>GST -18% extra</t>
  </si>
  <si>
    <t>P&amp;F - 3% extra</t>
  </si>
  <si>
    <t>Freight - Extra at actual</t>
  </si>
  <si>
    <t>Insurance - Customer scope</t>
  </si>
  <si>
    <t>MTC - Parth will provide all the MTC</t>
  </si>
  <si>
    <t>Inspection - PARTH Scope</t>
  </si>
  <si>
    <t>Payment Terms - 50% advance and 50% against PI</t>
  </si>
  <si>
    <t>Unit Prices  as per DISC MOC (INR)</t>
  </si>
  <si>
    <t>sales@parthvalve.com</t>
  </si>
  <si>
    <t>35% Rise</t>
  </si>
  <si>
    <t xml:space="preserve">   PVH/PL/BFV/AL/01   Rev.01 D-01.01.2022</t>
  </si>
  <si>
    <t xml:space="preserve">CEO </t>
  </si>
  <si>
    <t xml:space="preserve">              Mr. Pramod Gaikwad</t>
  </si>
  <si>
    <t xml:space="preserve">           
              CEO 
              Mr. Pramod Gaikwad
              9881236139</t>
  </si>
  <si>
    <t>Page 1 OF 3</t>
  </si>
  <si>
    <t>Page 2 OF 3</t>
  </si>
  <si>
    <t xml:space="preserve">      PVH/PL/BFV/AL/01   Rev.01 Dtd.01.01.2022</t>
  </si>
  <si>
    <t xml:space="preserve">Rate Revision - PARTH VALVES AND HOSES LLP has rights to change price as per market condition which will intimate at the time change.                                                                         </t>
  </si>
  <si>
    <t xml:space="preserve">       Page 3 OF 3.  </t>
  </si>
  <si>
    <t>PN04 Aluminium Butterfly Valve Pricelist - 2022</t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</si>
  <si>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BARE SHAFT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</si>
  <si>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DA ACTUATOR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</si>
  <si>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SA ACTUATOR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</si>
  <si>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DA ACTUATOR+LSB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</si>
  <si>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SA ACTUATOR+LSB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</si>
  <si>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DA ACTUATOR + LSB + SOV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</si>
  <si>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SA ACTUATOR + LSB + SOV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</si>
  <si>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DA Actuator + Pneumatic - Pneumatic Positioner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</si>
  <si>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SA Actuator + Pneumatic - Pneumatic Positioner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</si>
  <si>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DA Actuator + Electro-Pneumatic Positioner
</t>
    </r>
  </si>
  <si>
    <r>
      <t xml:space="preserve">Valve - Butterfly Valve
</t>
    </r>
    <r>
      <rPr>
        <b/>
        <sz val="14"/>
        <color rgb="FF002060"/>
        <rFont val="Arial Narrow"/>
        <family val="2"/>
      </rPr>
      <t>Body - AL</t>
    </r>
    <r>
      <rPr>
        <sz val="11"/>
        <color theme="1"/>
        <rFont val="Arial Narrow"/>
        <family val="2"/>
      </rPr>
      <t xml:space="preserve">
Seat - WHITE EPDM
Stem - SS304
Pressure - PN04
End - WAFER
Drilling - BSEN 4504
Paint - NA
Operator -
Valve + SA Actuator + Electro-Pneumatic Positioner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</si>
</sst>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1F497D"/>
      <name val="Cambria"/>
      <family val="1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30"/>
      <color rgb="FF1F497D"/>
      <name val="Cambria"/>
      <family val="1"/>
    </font>
    <font>
      <b/>
      <sz val="14"/>
      <color rgb="FF1F497D"/>
      <name val="Cambria"/>
      <family val="1"/>
    </font>
    <font>
      <sz val="14"/>
      <color theme="1"/>
      <name val="Arial Narrow"/>
      <family val="2"/>
    </font>
    <font>
      <b/>
      <sz val="14"/>
      <color theme="10"/>
      <name val="Calibri"/>
      <family val="2"/>
      <scheme val="minor"/>
    </font>
    <font>
      <b/>
      <sz val="12"/>
      <color rgb="FF1F497D"/>
      <name val="Cambria"/>
      <family val="1"/>
    </font>
    <font>
      <b/>
      <sz val="11"/>
      <color theme="10"/>
      <name val="Calibri"/>
      <family val="2"/>
      <scheme val="minor"/>
    </font>
    <font>
      <b/>
      <sz val="25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rgb="FF002060"/>
      <name val="Arial Narrow"/>
      <family val="2"/>
    </font>
    <font>
      <b/>
      <sz val="2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vertical="top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6" fillId="2" borderId="4" xfId="0" applyFont="1" applyFill="1" applyBorder="1"/>
    <xf numFmtId="0" fontId="9" fillId="2" borderId="4" xfId="0" applyFont="1" applyFill="1" applyBorder="1"/>
    <xf numFmtId="0" fontId="10" fillId="2" borderId="0" xfId="1" applyFont="1" applyFill="1" applyBorder="1" applyAlignment="1">
      <alignment vertical="center"/>
    </xf>
    <xf numFmtId="0" fontId="10" fillId="2" borderId="5" xfId="1" applyFont="1" applyFill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2" fillId="0" borderId="0" xfId="0" applyFont="1"/>
    <xf numFmtId="0" fontId="3" fillId="0" borderId="7" xfId="0" applyFont="1" applyBorder="1" applyAlignment="1">
      <alignment horizontal="center" vertical="center"/>
    </xf>
    <xf numFmtId="0" fontId="7" fillId="2" borderId="0" xfId="0" applyFont="1" applyFill="1"/>
    <xf numFmtId="0" fontId="3" fillId="2" borderId="0" xfId="0" applyFont="1" applyFill="1" applyAlignment="1">
      <alignment vertical="center"/>
    </xf>
    <xf numFmtId="0" fontId="0" fillId="0" borderId="7" xfId="0" applyBorder="1"/>
    <xf numFmtId="1" fontId="0" fillId="0" borderId="7" xfId="0" applyNumberFormat="1" applyBorder="1" applyAlignment="1">
      <alignment horizontal="center"/>
    </xf>
    <xf numFmtId="0" fontId="0" fillId="0" borderId="8" xfId="0" applyBorder="1"/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7" xfId="0" applyNumberFormat="1" applyBorder="1"/>
    <xf numFmtId="1" fontId="15" fillId="0" borderId="7" xfId="0" applyNumberFormat="1" applyFont="1" applyBorder="1" applyAlignment="1">
      <alignment horizontal="center"/>
    </xf>
    <xf numFmtId="0" fontId="0" fillId="0" borderId="9" xfId="0" applyBorder="1"/>
    <xf numFmtId="0" fontId="0" fillId="0" borderId="7" xfId="0" applyBorder="1" applyAlignment="1">
      <alignment horizontal="center"/>
    </xf>
    <xf numFmtId="0" fontId="15" fillId="0" borderId="7" xfId="0" applyFont="1" applyBorder="1" applyAlignment="1">
      <alignment horizontal="center"/>
    </xf>
    <xf numFmtId="1" fontId="15" fillId="0" borderId="0" xfId="0" applyNumberFormat="1" applyFont="1" applyAlignment="1">
      <alignment horizontal="center"/>
    </xf>
    <xf numFmtId="1" fontId="15" fillId="0" borderId="8" xfId="0" applyNumberFormat="1" applyFont="1" applyBorder="1" applyAlignment="1">
      <alignment horizontal="center"/>
    </xf>
    <xf numFmtId="0" fontId="12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/>
    <xf numFmtId="0" fontId="2" fillId="2" borderId="4" xfId="0" applyFont="1" applyFill="1" applyBorder="1"/>
    <xf numFmtId="0" fontId="0" fillId="0" borderId="10" xfId="0" applyBorder="1"/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" fontId="15" fillId="0" borderId="11" xfId="0" applyNumberFormat="1" applyFont="1" applyBorder="1" applyAlignment="1">
      <alignment horizontal="center"/>
    </xf>
    <xf numFmtId="0" fontId="16" fillId="2" borderId="18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" fontId="3" fillId="0" borderId="7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right" vertical="center" wrapText="1"/>
    </xf>
    <xf numFmtId="0" fontId="16" fillId="2" borderId="3" xfId="0" applyFont="1" applyFill="1" applyBorder="1" applyAlignment="1">
      <alignment horizontal="right" vertical="center" wrapText="1"/>
    </xf>
    <xf numFmtId="0" fontId="14" fillId="2" borderId="14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8" fillId="2" borderId="0" xfId="1" applyFont="1" applyFill="1" applyBorder="1" applyAlignment="1">
      <alignment vertical="center"/>
    </xf>
    <xf numFmtId="0" fontId="8" fillId="2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448236</xdr:colOff>
      <xdr:row>16</xdr:row>
      <xdr:rowOff>100854</xdr:rowOff>
    </xdr:from>
    <xdr:to>
      <xdr:col>3</xdr:col>
      <xdr:colOff>2431678</xdr:colOff>
      <xdr:row>26</xdr:row>
      <xdr:rowOff>134471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90D6CA-F9AE-4E92-8651-110C190A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3361" y="5406279"/>
          <a:ext cx="1983442" cy="1938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470647</xdr:colOff>
      <xdr:row>135</xdr:row>
      <xdr:rowOff>56029</xdr:rowOff>
    </xdr:from>
    <xdr:to>
      <xdr:col>3</xdr:col>
      <xdr:colOff>2409266</xdr:colOff>
      <xdr:row>145</xdr:row>
      <xdr:rowOff>145679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049D1C-77BA-405F-A2F6-8545A6989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5772" y="30212179"/>
          <a:ext cx="1938619" cy="2185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515470</xdr:colOff>
      <xdr:row>148</xdr:row>
      <xdr:rowOff>156882</xdr:rowOff>
    </xdr:from>
    <xdr:to>
      <xdr:col>3</xdr:col>
      <xdr:colOff>2454089</xdr:colOff>
      <xdr:row>158</xdr:row>
      <xdr:rowOff>22411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5675BA-5C37-4161-9DF9-529817FE7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6588" y="34065882"/>
          <a:ext cx="1938619" cy="2218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673718</xdr:colOff>
      <xdr:row>29</xdr:row>
      <xdr:rowOff>42727</xdr:rowOff>
    </xdr:from>
    <xdr:to>
      <xdr:col>3</xdr:col>
      <xdr:colOff>2167215</xdr:colOff>
      <xdr:row>39</xdr:row>
      <xdr:rowOff>157891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257765-CCF7-41F1-A916-0E3D15A36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6066" y="7906660"/>
          <a:ext cx="1493497" cy="220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656476</xdr:colOff>
      <xdr:row>42</xdr:row>
      <xdr:rowOff>58079</xdr:rowOff>
    </xdr:from>
    <xdr:to>
      <xdr:col>3</xdr:col>
      <xdr:colOff>2139579</xdr:colOff>
      <xdr:row>52</xdr:row>
      <xdr:rowOff>157893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A35293-6ECB-4B37-AE16-E9FC77EF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824" y="10709817"/>
          <a:ext cx="1483103" cy="2190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904649</xdr:colOff>
      <xdr:row>55</xdr:row>
      <xdr:rowOff>69695</xdr:rowOff>
    </xdr:from>
    <xdr:ext cx="1078789" cy="2167461"/>
    <xdr:pic>
      <xdr:nvPicPr>
        <xdr:cNvPr id="16" name="Picture 15">
          <a:extLst>
            <a:ext uri="{FF2B5EF4-FFF2-40B4-BE49-F238E27FC236}">
              <a16:creationId xmlns:a16="http://schemas.microsoft.com/office/drawing/2014/main" id="{A3819570-B2C4-4408-A974-65F4DA0E3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6997" y="19293933"/>
          <a:ext cx="1078789" cy="2167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469260</xdr:colOff>
      <xdr:row>69</xdr:row>
      <xdr:rowOff>69695</xdr:rowOff>
    </xdr:from>
    <xdr:ext cx="1911990" cy="2181457"/>
    <xdr:pic>
      <xdr:nvPicPr>
        <xdr:cNvPr id="17" name="Picture 16">
          <a:extLst>
            <a:ext uri="{FF2B5EF4-FFF2-40B4-BE49-F238E27FC236}">
              <a16:creationId xmlns:a16="http://schemas.microsoft.com/office/drawing/2014/main" id="{24FF4CF3-4BC2-4509-850A-AC49B325D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608" y="22093354"/>
          <a:ext cx="1911990" cy="2181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447208</xdr:colOff>
      <xdr:row>82</xdr:row>
      <xdr:rowOff>81311</xdr:rowOff>
    </xdr:from>
    <xdr:ext cx="1911629" cy="2181045"/>
    <xdr:pic>
      <xdr:nvPicPr>
        <xdr:cNvPr id="18" name="Picture 17">
          <a:extLst>
            <a:ext uri="{FF2B5EF4-FFF2-40B4-BE49-F238E27FC236}">
              <a16:creationId xmlns:a16="http://schemas.microsoft.com/office/drawing/2014/main" id="{97598BF1-9049-4512-9ED2-3EE932EA9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9556" y="24904390"/>
          <a:ext cx="1911629" cy="2181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394938</xdr:colOff>
      <xdr:row>95</xdr:row>
      <xdr:rowOff>61612</xdr:rowOff>
    </xdr:from>
    <xdr:ext cx="1919075" cy="2189540"/>
    <xdr:pic>
      <xdr:nvPicPr>
        <xdr:cNvPr id="20" name="Picture 19">
          <a:extLst>
            <a:ext uri="{FF2B5EF4-FFF2-40B4-BE49-F238E27FC236}">
              <a16:creationId xmlns:a16="http://schemas.microsoft.com/office/drawing/2014/main" id="{1004C679-2337-425B-9E09-E01D587F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7286" y="33317801"/>
          <a:ext cx="1919075" cy="218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456833</xdr:colOff>
      <xdr:row>108</xdr:row>
      <xdr:rowOff>69695</xdr:rowOff>
    </xdr:from>
    <xdr:ext cx="1906379" cy="2181868"/>
    <xdr:pic>
      <xdr:nvPicPr>
        <xdr:cNvPr id="21" name="Picture 20">
          <a:extLst>
            <a:ext uri="{FF2B5EF4-FFF2-40B4-BE49-F238E27FC236}">
              <a16:creationId xmlns:a16="http://schemas.microsoft.com/office/drawing/2014/main" id="{3B99BA80-223D-42DC-A33F-C0FF79BB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9181" y="36113689"/>
          <a:ext cx="1906379" cy="2181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513053</xdr:colOff>
      <xdr:row>121</xdr:row>
      <xdr:rowOff>69694</xdr:rowOff>
    </xdr:from>
    <xdr:ext cx="1885007" cy="2157407"/>
    <xdr:pic>
      <xdr:nvPicPr>
        <xdr:cNvPr id="22" name="Picture 21">
          <a:extLst>
            <a:ext uri="{FF2B5EF4-FFF2-40B4-BE49-F238E27FC236}">
              <a16:creationId xmlns:a16="http://schemas.microsoft.com/office/drawing/2014/main" id="{0E4CD8A0-168E-4F60-9C44-6F1102838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401" y="38913109"/>
          <a:ext cx="1885007" cy="2157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47781</xdr:colOff>
      <xdr:row>4</xdr:row>
      <xdr:rowOff>336597</xdr:rowOff>
    </xdr:from>
    <xdr:to>
      <xdr:col>2</xdr:col>
      <xdr:colOff>1247931</xdr:colOff>
      <xdr:row>5</xdr:row>
      <xdr:rowOff>1171591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DD8EA0-4594-4D1D-970C-1369B4504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99" y="1199450"/>
          <a:ext cx="1805267" cy="1182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keting@foodpharmavalves.com" TargetMode="External"/><Relationship Id="rId2" Type="http://schemas.openxmlformats.org/officeDocument/2006/relationships/hyperlink" Target="mailto:marketing@parthvalve.com" TargetMode="External"/><Relationship Id="rId1" Type="http://schemas.openxmlformats.org/officeDocument/2006/relationships/hyperlink" Target="mailto:pramod@parthvalve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les@parthval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84CE-447B-4394-874E-F4D1B15D4194}">
  <dimension ref="B4:Y168"/>
  <sheetViews>
    <sheetView tabSelected="1" view="pageBreakPreview" topLeftCell="A13" zoomScale="106" zoomScaleNormal="106" zoomScaleSheetLayoutView="106" workbookViewId="0">
      <selection activeCell="L24" sqref="L24"/>
    </sheetView>
  </sheetViews>
  <sheetFormatPr defaultRowHeight="16.5" x14ac:dyDescent="0.3"/>
  <cols>
    <col min="1" max="2" width="9.140625" style="12"/>
    <col min="3" max="3" width="25.28515625" style="12" customWidth="1"/>
    <col min="4" max="4" width="43.28515625" style="12" customWidth="1"/>
    <col min="5" max="5" width="10.140625" style="13" customWidth="1"/>
    <col min="6" max="8" width="10.7109375" style="13" customWidth="1"/>
    <col min="9" max="9" width="18.140625" style="13" customWidth="1"/>
    <col min="10" max="10" width="9.140625" style="12"/>
    <col min="11" max="11" width="11.140625" style="12" customWidth="1"/>
    <col min="12" max="12" width="23.5703125" style="13" customWidth="1"/>
    <col min="13" max="13" width="26" style="12" customWidth="1"/>
    <col min="14" max="14" width="12.7109375" style="12" customWidth="1"/>
    <col min="15" max="15" width="15.28515625" style="12" customWidth="1"/>
    <col min="16" max="16" width="15.42578125" style="13" bestFit="1" customWidth="1"/>
    <col min="17" max="17" width="17.28515625" style="13" customWidth="1"/>
    <col min="18" max="18" width="11.140625" style="12" customWidth="1"/>
    <col min="19" max="19" width="9.140625" style="12"/>
    <col min="20" max="20" width="18" style="12" bestFit="1" customWidth="1"/>
    <col min="21" max="21" width="16.140625" style="12" customWidth="1"/>
    <col min="22" max="22" width="9.140625" style="12"/>
    <col min="23" max="23" width="10.42578125" style="12" customWidth="1"/>
    <col min="24" max="24" width="15.140625" style="12" customWidth="1"/>
    <col min="25" max="16384" width="9.140625" style="12"/>
  </cols>
  <sheetData>
    <row r="4" spans="2:18" ht="17.25" thickBot="1" x14ac:dyDescent="0.35"/>
    <row r="5" spans="2:18" ht="27" customHeight="1" x14ac:dyDescent="0.3">
      <c r="B5" s="1"/>
      <c r="C5" s="2"/>
      <c r="D5" s="2"/>
      <c r="E5" s="3"/>
      <c r="F5" s="65" t="s">
        <v>107</v>
      </c>
      <c r="G5" s="65"/>
      <c r="H5" s="65"/>
      <c r="I5" s="66"/>
    </row>
    <row r="6" spans="2:18" ht="94.5" customHeight="1" x14ac:dyDescent="0.3">
      <c r="B6" s="39"/>
      <c r="C6" s="5"/>
      <c r="D6" s="5"/>
      <c r="E6" s="6"/>
      <c r="F6" s="63" t="s">
        <v>104</v>
      </c>
      <c r="G6" s="63"/>
      <c r="H6" s="63"/>
      <c r="I6" s="64"/>
      <c r="O6" s="12" t="s">
        <v>102</v>
      </c>
    </row>
    <row r="7" spans="2:18" ht="39.75" customHeight="1" x14ac:dyDescent="0.3">
      <c r="B7" s="4" t="s">
        <v>20</v>
      </c>
      <c r="C7" s="5"/>
      <c r="D7" s="5"/>
      <c r="E7" s="6"/>
      <c r="F7" s="63"/>
      <c r="G7" s="63"/>
      <c r="H7" s="63"/>
      <c r="I7" s="64"/>
      <c r="K7" s="12" t="s">
        <v>101</v>
      </c>
      <c r="O7" s="12" t="s">
        <v>103</v>
      </c>
    </row>
    <row r="8" spans="2:18" ht="18.75" x14ac:dyDescent="0.3">
      <c r="B8" s="7" t="s">
        <v>21</v>
      </c>
      <c r="C8" s="16"/>
      <c r="D8" s="5"/>
      <c r="E8" s="6"/>
      <c r="F8" s="70" t="s">
        <v>0</v>
      </c>
      <c r="G8" s="70"/>
      <c r="H8" s="70"/>
      <c r="I8" s="71"/>
      <c r="O8" s="12">
        <v>9881236139</v>
      </c>
    </row>
    <row r="9" spans="2:18" ht="18.75" x14ac:dyDescent="0.3">
      <c r="B9" s="7" t="s">
        <v>22</v>
      </c>
      <c r="C9" s="16"/>
      <c r="D9" s="5"/>
      <c r="E9" s="6"/>
      <c r="F9" s="70" t="s">
        <v>99</v>
      </c>
      <c r="G9" s="70"/>
      <c r="H9" s="70"/>
      <c r="I9" s="71"/>
    </row>
    <row r="10" spans="2:18" ht="18.75" x14ac:dyDescent="0.3">
      <c r="B10" s="7" t="s">
        <v>23</v>
      </c>
      <c r="C10" s="16"/>
      <c r="D10" s="5"/>
      <c r="E10" s="6"/>
      <c r="F10" s="70" t="s">
        <v>1</v>
      </c>
      <c r="G10" s="70"/>
      <c r="H10" s="70"/>
      <c r="I10" s="71"/>
    </row>
    <row r="11" spans="2:18" ht="18.75" x14ac:dyDescent="0.3">
      <c r="B11" s="8"/>
      <c r="C11" s="5"/>
      <c r="D11" s="5"/>
      <c r="E11" s="6"/>
      <c r="F11" s="70" t="s">
        <v>2</v>
      </c>
      <c r="G11" s="70"/>
      <c r="H11" s="70"/>
      <c r="I11" s="71"/>
    </row>
    <row r="12" spans="2:18" s="5" customFormat="1" ht="46.5" customHeight="1" x14ac:dyDescent="0.3">
      <c r="B12" s="8"/>
      <c r="E12" s="6"/>
      <c r="F12" s="17"/>
      <c r="G12" s="9"/>
      <c r="H12" s="9"/>
      <c r="I12" s="10"/>
      <c r="L12" s="6"/>
      <c r="P12" s="6"/>
      <c r="Q12" s="6"/>
    </row>
    <row r="13" spans="2:18" ht="31.5" x14ac:dyDescent="0.45">
      <c r="B13" s="72" t="s">
        <v>110</v>
      </c>
      <c r="C13" s="73"/>
      <c r="D13" s="73"/>
      <c r="E13" s="73"/>
      <c r="F13" s="73"/>
      <c r="G13" s="73"/>
      <c r="H13" s="73"/>
      <c r="I13" s="74"/>
    </row>
    <row r="14" spans="2:18" ht="25.5" x14ac:dyDescent="0.35">
      <c r="B14" s="67"/>
      <c r="C14" s="68"/>
      <c r="D14" s="68"/>
      <c r="E14" s="68"/>
      <c r="F14" s="68"/>
      <c r="G14" s="68"/>
      <c r="H14" s="68"/>
      <c r="I14" s="69"/>
    </row>
    <row r="15" spans="2:18" ht="18" customHeight="1" x14ac:dyDescent="0.3">
      <c r="B15" s="51" t="s">
        <v>3</v>
      </c>
      <c r="C15" s="45" t="s">
        <v>4</v>
      </c>
      <c r="D15" s="45" t="s">
        <v>5</v>
      </c>
      <c r="E15" s="45" t="s">
        <v>6</v>
      </c>
      <c r="F15" s="52" t="s">
        <v>98</v>
      </c>
      <c r="G15" s="52"/>
      <c r="H15" s="52"/>
      <c r="I15" s="53"/>
      <c r="K15" s="59" t="s">
        <v>35</v>
      </c>
      <c r="L15" s="59"/>
      <c r="M15" s="59"/>
      <c r="N15" s="59"/>
      <c r="O15" s="59" t="s">
        <v>38</v>
      </c>
      <c r="P15" s="59"/>
      <c r="Q15" s="59"/>
      <c r="R15" s="59"/>
    </row>
    <row r="16" spans="2:18" s="14" customFormat="1" ht="18" customHeight="1" x14ac:dyDescent="0.25">
      <c r="B16" s="51"/>
      <c r="C16" s="45"/>
      <c r="D16" s="45"/>
      <c r="E16" s="45"/>
      <c r="F16" s="52" t="s">
        <v>12</v>
      </c>
      <c r="G16" s="52"/>
      <c r="H16" s="52" t="s">
        <v>13</v>
      </c>
      <c r="I16" s="53"/>
      <c r="K16" s="62" t="s">
        <v>36</v>
      </c>
      <c r="L16" s="62"/>
      <c r="M16" s="18" t="s">
        <v>37</v>
      </c>
      <c r="N16" s="28" t="s">
        <v>68</v>
      </c>
      <c r="O16" s="18" t="s">
        <v>36</v>
      </c>
      <c r="P16" s="27"/>
      <c r="Q16" s="27" t="s">
        <v>37</v>
      </c>
      <c r="R16" s="28" t="s">
        <v>68</v>
      </c>
    </row>
    <row r="17" spans="2:25" s="14" customFormat="1" ht="15" customHeight="1" x14ac:dyDescent="0.3">
      <c r="B17" s="11">
        <v>1</v>
      </c>
      <c r="C17" s="54" t="s">
        <v>111</v>
      </c>
      <c r="D17" s="55"/>
      <c r="E17" s="15" t="s">
        <v>24</v>
      </c>
      <c r="F17" s="49">
        <f>N17</f>
        <v>19706.400000000001</v>
      </c>
      <c r="G17" s="49"/>
      <c r="H17" s="49">
        <f>R17</f>
        <v>19776</v>
      </c>
      <c r="I17" s="61"/>
      <c r="K17" s="18" t="s">
        <v>14</v>
      </c>
      <c r="L17" s="19">
        <f>6853.2+3000</f>
        <v>9853.2000000000007</v>
      </c>
      <c r="M17" s="19">
        <f>L17*1.4</f>
        <v>13794.48</v>
      </c>
      <c r="N17" s="25">
        <f>M17/0.7</f>
        <v>19706.400000000001</v>
      </c>
      <c r="O17" s="18" t="s">
        <v>14</v>
      </c>
      <c r="P17" s="27">
        <f>6888+3000</f>
        <v>9888</v>
      </c>
      <c r="Q17" s="19">
        <f>P17*1.4</f>
        <v>13843.199999999999</v>
      </c>
      <c r="R17" s="28">
        <f>Q17/0.7</f>
        <v>19776</v>
      </c>
    </row>
    <row r="18" spans="2:25" ht="15" customHeight="1" x14ac:dyDescent="0.3">
      <c r="B18" s="11">
        <v>2</v>
      </c>
      <c r="C18" s="54"/>
      <c r="D18" s="55"/>
      <c r="E18" s="15" t="s">
        <v>25</v>
      </c>
      <c r="F18" s="49">
        <f t="shared" ref="F18:F27" si="0">N18</f>
        <v>19979</v>
      </c>
      <c r="G18" s="49"/>
      <c r="H18" s="49">
        <f t="shared" ref="H18:H27" si="1">R18</f>
        <v>20123</v>
      </c>
      <c r="I18" s="61"/>
      <c r="K18" s="18" t="s">
        <v>18</v>
      </c>
      <c r="L18" s="19">
        <v>9989.5</v>
      </c>
      <c r="M18" s="19">
        <f t="shared" ref="M18:M27" si="2">L18*1.4</f>
        <v>13985.3</v>
      </c>
      <c r="N18" s="25">
        <f t="shared" ref="N18:N27" si="3">M18/0.7</f>
        <v>19979</v>
      </c>
      <c r="O18" s="18" t="s">
        <v>18</v>
      </c>
      <c r="P18" s="19">
        <v>10061.5</v>
      </c>
      <c r="Q18" s="19">
        <f t="shared" ref="Q18:Q27" si="4">P18*1.4</f>
        <v>14086.099999999999</v>
      </c>
      <c r="R18" s="28">
        <f t="shared" ref="R18:R27" si="5">Q18/0.7</f>
        <v>20123</v>
      </c>
    </row>
    <row r="19" spans="2:25" ht="15" customHeight="1" x14ac:dyDescent="0.3">
      <c r="B19" s="11">
        <v>3</v>
      </c>
      <c r="C19" s="54"/>
      <c r="D19" s="55"/>
      <c r="E19" s="15" t="s">
        <v>26</v>
      </c>
      <c r="F19" s="49">
        <f t="shared" si="0"/>
        <v>20250</v>
      </c>
      <c r="G19" s="49"/>
      <c r="H19" s="49">
        <f t="shared" si="1"/>
        <v>20470</v>
      </c>
      <c r="I19" s="61"/>
      <c r="K19" s="18" t="s">
        <v>7</v>
      </c>
      <c r="L19" s="19">
        <v>10125</v>
      </c>
      <c r="M19" s="19">
        <f t="shared" si="2"/>
        <v>14175</v>
      </c>
      <c r="N19" s="25">
        <f t="shared" si="3"/>
        <v>20250</v>
      </c>
      <c r="O19" s="18" t="s">
        <v>7</v>
      </c>
      <c r="P19" s="19">
        <v>10235</v>
      </c>
      <c r="Q19" s="19">
        <f t="shared" si="4"/>
        <v>14329</v>
      </c>
      <c r="R19" s="28">
        <f t="shared" si="5"/>
        <v>20470</v>
      </c>
    </row>
    <row r="20" spans="2:25" ht="15" customHeight="1" x14ac:dyDescent="0.3">
      <c r="B20" s="11">
        <v>4</v>
      </c>
      <c r="C20" s="54"/>
      <c r="D20" s="55"/>
      <c r="E20" s="15" t="s">
        <v>27</v>
      </c>
      <c r="F20" s="49">
        <f t="shared" si="0"/>
        <v>25352.400000000001</v>
      </c>
      <c r="G20" s="49"/>
      <c r="H20" s="49">
        <f t="shared" si="1"/>
        <v>25562</v>
      </c>
      <c r="I20" s="61"/>
      <c r="K20" s="18" t="s">
        <v>8</v>
      </c>
      <c r="L20" s="19">
        <v>12676.2</v>
      </c>
      <c r="M20" s="19">
        <f t="shared" si="2"/>
        <v>17746.68</v>
      </c>
      <c r="N20" s="25">
        <f t="shared" si="3"/>
        <v>25352.400000000001</v>
      </c>
      <c r="O20" s="18" t="s">
        <v>8</v>
      </c>
      <c r="P20" s="19">
        <v>12781</v>
      </c>
      <c r="Q20" s="19">
        <f t="shared" si="4"/>
        <v>17893.399999999998</v>
      </c>
      <c r="R20" s="28">
        <f t="shared" si="5"/>
        <v>25562</v>
      </c>
    </row>
    <row r="21" spans="2:25" ht="15" customHeight="1" x14ac:dyDescent="0.3">
      <c r="B21" s="11">
        <v>5</v>
      </c>
      <c r="C21" s="54"/>
      <c r="D21" s="55"/>
      <c r="E21" s="15" t="s">
        <v>28</v>
      </c>
      <c r="F21" s="49">
        <f t="shared" si="0"/>
        <v>29411.8</v>
      </c>
      <c r="G21" s="49"/>
      <c r="H21" s="49">
        <f t="shared" si="1"/>
        <v>29805.4</v>
      </c>
      <c r="I21" s="61"/>
      <c r="K21" s="18" t="s">
        <v>9</v>
      </c>
      <c r="L21" s="19">
        <v>14705.9</v>
      </c>
      <c r="M21" s="19">
        <f t="shared" si="2"/>
        <v>20588.259999999998</v>
      </c>
      <c r="N21" s="25">
        <f t="shared" si="3"/>
        <v>29411.8</v>
      </c>
      <c r="O21" s="18" t="s">
        <v>9</v>
      </c>
      <c r="P21" s="19">
        <v>14902.7</v>
      </c>
      <c r="Q21" s="19">
        <f t="shared" si="4"/>
        <v>20863.78</v>
      </c>
      <c r="R21" s="25">
        <f t="shared" si="5"/>
        <v>29805.4</v>
      </c>
    </row>
    <row r="22" spans="2:25" ht="15" customHeight="1" x14ac:dyDescent="0.3">
      <c r="B22" s="11">
        <v>6</v>
      </c>
      <c r="C22" s="54"/>
      <c r="D22" s="55"/>
      <c r="E22" s="15" t="s">
        <v>29</v>
      </c>
      <c r="F22" s="49">
        <f t="shared" si="0"/>
        <v>35606.400000000001</v>
      </c>
      <c r="G22" s="49"/>
      <c r="H22" s="49">
        <f t="shared" si="1"/>
        <v>36155.199999999997</v>
      </c>
      <c r="I22" s="61"/>
      <c r="K22" s="18" t="s">
        <v>10</v>
      </c>
      <c r="L22" s="19">
        <v>17803.2</v>
      </c>
      <c r="M22" s="19">
        <f t="shared" si="2"/>
        <v>24924.48</v>
      </c>
      <c r="N22" s="25">
        <f t="shared" si="3"/>
        <v>35606.400000000001</v>
      </c>
      <c r="O22" s="18" t="s">
        <v>10</v>
      </c>
      <c r="P22" s="19">
        <v>18077.599999999999</v>
      </c>
      <c r="Q22" s="19">
        <f t="shared" si="4"/>
        <v>25308.639999999996</v>
      </c>
      <c r="R22" s="25">
        <f t="shared" si="5"/>
        <v>36155.199999999997</v>
      </c>
    </row>
    <row r="23" spans="2:25" ht="15" customHeight="1" x14ac:dyDescent="0.3">
      <c r="B23" s="11">
        <v>7</v>
      </c>
      <c r="C23" s="54"/>
      <c r="D23" s="55"/>
      <c r="E23" s="15" t="s">
        <v>30</v>
      </c>
      <c r="F23" s="49">
        <f t="shared" si="0"/>
        <v>47130.400000000009</v>
      </c>
      <c r="G23" s="49"/>
      <c r="H23" s="49">
        <f t="shared" si="1"/>
        <v>47977.600000000013</v>
      </c>
      <c r="I23" s="61"/>
      <c r="K23" s="18" t="s">
        <v>19</v>
      </c>
      <c r="L23" s="19">
        <v>23565.200000000004</v>
      </c>
      <c r="M23" s="19">
        <f t="shared" si="2"/>
        <v>32991.280000000006</v>
      </c>
      <c r="N23" s="25">
        <f t="shared" si="3"/>
        <v>47130.400000000009</v>
      </c>
      <c r="O23" s="18" t="s">
        <v>19</v>
      </c>
      <c r="P23" s="19">
        <v>23988.800000000007</v>
      </c>
      <c r="Q23" s="19">
        <f t="shared" si="4"/>
        <v>33584.320000000007</v>
      </c>
      <c r="R23" s="25">
        <f t="shared" si="5"/>
        <v>47977.600000000013</v>
      </c>
    </row>
    <row r="24" spans="2:25" ht="15" customHeight="1" x14ac:dyDescent="0.3">
      <c r="B24" s="11">
        <v>8</v>
      </c>
      <c r="C24" s="54"/>
      <c r="D24" s="55"/>
      <c r="E24" s="15" t="s">
        <v>31</v>
      </c>
      <c r="F24" s="49">
        <f t="shared" si="0"/>
        <v>55210</v>
      </c>
      <c r="G24" s="49"/>
      <c r="H24" s="49">
        <f t="shared" si="1"/>
        <v>56107.600000000013</v>
      </c>
      <c r="I24" s="61"/>
      <c r="K24" s="18" t="s">
        <v>11</v>
      </c>
      <c r="L24" s="19">
        <v>27605.000000000004</v>
      </c>
      <c r="M24" s="19">
        <f t="shared" si="2"/>
        <v>38647</v>
      </c>
      <c r="N24" s="25">
        <f t="shared" si="3"/>
        <v>55210</v>
      </c>
      <c r="O24" s="18" t="s">
        <v>11</v>
      </c>
      <c r="P24" s="19">
        <v>28053.800000000007</v>
      </c>
      <c r="Q24" s="19">
        <f t="shared" si="4"/>
        <v>39275.320000000007</v>
      </c>
      <c r="R24" s="25">
        <f t="shared" si="5"/>
        <v>56107.600000000013</v>
      </c>
    </row>
    <row r="25" spans="2:25" ht="15" customHeight="1" x14ac:dyDescent="0.3">
      <c r="B25" s="11">
        <v>9</v>
      </c>
      <c r="C25" s="54"/>
      <c r="D25" s="55"/>
      <c r="E25" s="15" t="s">
        <v>32</v>
      </c>
      <c r="F25" s="49">
        <f t="shared" si="0"/>
        <v>73111.600000000006</v>
      </c>
      <c r="G25" s="49"/>
      <c r="H25" s="49">
        <f t="shared" si="1"/>
        <v>74878.800000000017</v>
      </c>
      <c r="I25" s="61"/>
      <c r="K25" s="18" t="s">
        <v>15</v>
      </c>
      <c r="L25" s="19">
        <v>36555.800000000003</v>
      </c>
      <c r="M25" s="19">
        <f t="shared" si="2"/>
        <v>51178.12</v>
      </c>
      <c r="N25" s="25">
        <f t="shared" si="3"/>
        <v>73111.600000000006</v>
      </c>
      <c r="O25" s="18" t="s">
        <v>15</v>
      </c>
      <c r="P25" s="19">
        <v>37439.400000000009</v>
      </c>
      <c r="Q25" s="19">
        <f t="shared" si="4"/>
        <v>52415.160000000011</v>
      </c>
      <c r="R25" s="25">
        <f t="shared" si="5"/>
        <v>74878.800000000017</v>
      </c>
    </row>
    <row r="26" spans="2:25" ht="15" customHeight="1" x14ac:dyDescent="0.3">
      <c r="B26" s="11">
        <v>10</v>
      </c>
      <c r="C26" s="54"/>
      <c r="D26" s="55"/>
      <c r="E26" s="15" t="s">
        <v>33</v>
      </c>
      <c r="F26" s="49">
        <f t="shared" si="0"/>
        <v>92915.6</v>
      </c>
      <c r="G26" s="49"/>
      <c r="H26" s="49">
        <f t="shared" si="1"/>
        <v>95127.60000000002</v>
      </c>
      <c r="I26" s="61"/>
      <c r="K26" s="18" t="s">
        <v>16</v>
      </c>
      <c r="L26" s="19">
        <f>41457.8+5000</f>
        <v>46457.8</v>
      </c>
      <c r="M26" s="19">
        <f t="shared" si="2"/>
        <v>65040.92</v>
      </c>
      <c r="N26" s="25">
        <f t="shared" si="3"/>
        <v>92915.6</v>
      </c>
      <c r="O26" s="18" t="s">
        <v>16</v>
      </c>
      <c r="P26" s="19">
        <f>42563.8+5000</f>
        <v>47563.8</v>
      </c>
      <c r="Q26" s="19">
        <f t="shared" si="4"/>
        <v>66589.320000000007</v>
      </c>
      <c r="R26" s="25">
        <f t="shared" si="5"/>
        <v>95127.60000000002</v>
      </c>
    </row>
    <row r="27" spans="2:25" ht="15" customHeight="1" x14ac:dyDescent="0.3">
      <c r="B27" s="11">
        <v>11</v>
      </c>
      <c r="C27" s="54"/>
      <c r="D27" s="55"/>
      <c r="E27" s="15" t="s">
        <v>34</v>
      </c>
      <c r="F27" s="49">
        <f t="shared" si="0"/>
        <v>111499.19999999998</v>
      </c>
      <c r="G27" s="49"/>
      <c r="H27" s="49">
        <f t="shared" si="1"/>
        <v>114153.60000000001</v>
      </c>
      <c r="I27" s="61"/>
      <c r="K27" s="20" t="s">
        <v>17</v>
      </c>
      <c r="L27" s="21">
        <f>49749.6+6000</f>
        <v>55749.599999999999</v>
      </c>
      <c r="M27" s="21">
        <f t="shared" si="2"/>
        <v>78049.439999999988</v>
      </c>
      <c r="N27" s="30">
        <f t="shared" si="3"/>
        <v>111499.19999999998</v>
      </c>
      <c r="O27" s="20" t="s">
        <v>17</v>
      </c>
      <c r="P27" s="21">
        <f>51076.8+6000</f>
        <v>57076.800000000003</v>
      </c>
      <c r="Q27" s="21">
        <f t="shared" si="4"/>
        <v>79907.520000000004</v>
      </c>
      <c r="R27" s="25">
        <f t="shared" si="5"/>
        <v>114153.60000000001</v>
      </c>
    </row>
    <row r="28" spans="2:25" ht="18.75" x14ac:dyDescent="0.3">
      <c r="B28" s="51" t="s">
        <v>3</v>
      </c>
      <c r="C28" s="45" t="s">
        <v>4</v>
      </c>
      <c r="D28" s="45" t="s">
        <v>5</v>
      </c>
      <c r="E28" s="45" t="s">
        <v>6</v>
      </c>
      <c r="F28" s="52" t="s">
        <v>98</v>
      </c>
      <c r="G28" s="52"/>
      <c r="H28" s="52"/>
      <c r="I28" s="53"/>
      <c r="K28" s="59" t="s">
        <v>39</v>
      </c>
      <c r="L28" s="59"/>
      <c r="M28" s="59"/>
      <c r="N28" s="59"/>
      <c r="O28" s="59"/>
      <c r="P28" s="59"/>
      <c r="Q28" s="59"/>
      <c r="R28"/>
      <c r="S28" s="59" t="s">
        <v>39</v>
      </c>
      <c r="T28" s="59"/>
      <c r="U28" s="59"/>
      <c r="V28" s="59"/>
      <c r="W28" s="59"/>
      <c r="X28" s="59"/>
      <c r="Y28" s="59"/>
    </row>
    <row r="29" spans="2:25" ht="18.75" x14ac:dyDescent="0.3">
      <c r="B29" s="51"/>
      <c r="C29" s="45"/>
      <c r="D29" s="45"/>
      <c r="E29" s="45"/>
      <c r="F29" s="52" t="s">
        <v>12</v>
      </c>
      <c r="G29" s="52"/>
      <c r="H29" s="52" t="s">
        <v>13</v>
      </c>
      <c r="I29" s="53"/>
      <c r="K29" s="18" t="s">
        <v>47</v>
      </c>
      <c r="L29" s="18" t="s">
        <v>48</v>
      </c>
      <c r="M29" s="18" t="s">
        <v>49</v>
      </c>
      <c r="N29" s="18" t="s">
        <v>100</v>
      </c>
      <c r="O29" s="18" t="s">
        <v>69</v>
      </c>
      <c r="P29" s="18" t="s">
        <v>71</v>
      </c>
      <c r="Q29" s="28" t="s">
        <v>70</v>
      </c>
      <c r="R29"/>
      <c r="S29" s="18" t="s">
        <v>47</v>
      </c>
      <c r="T29" s="18" t="s">
        <v>48</v>
      </c>
      <c r="U29" s="18" t="s">
        <v>49</v>
      </c>
      <c r="V29" s="18" t="s">
        <v>100</v>
      </c>
      <c r="W29" s="18" t="s">
        <v>69</v>
      </c>
      <c r="X29" s="18" t="s">
        <v>72</v>
      </c>
      <c r="Y29" s="28" t="s">
        <v>70</v>
      </c>
    </row>
    <row r="30" spans="2:25" x14ac:dyDescent="0.3">
      <c r="B30" s="11">
        <v>1</v>
      </c>
      <c r="C30" s="54" t="s">
        <v>112</v>
      </c>
      <c r="D30" s="55"/>
      <c r="E30" s="15" t="s">
        <v>24</v>
      </c>
      <c r="F30" s="49">
        <f>Q30</f>
        <v>27972.257142857146</v>
      </c>
      <c r="G30" s="60"/>
      <c r="H30" s="49">
        <f>Y30</f>
        <v>28041.857142857145</v>
      </c>
      <c r="I30" s="61"/>
      <c r="K30" s="18" t="s">
        <v>14</v>
      </c>
      <c r="L30" s="18" t="s">
        <v>51</v>
      </c>
      <c r="M30" s="27">
        <v>4286</v>
      </c>
      <c r="N30" s="19">
        <f>M30*1.35</f>
        <v>5786.1</v>
      </c>
      <c r="O30" s="19">
        <f>N30/0.7</f>
        <v>8265.8571428571431</v>
      </c>
      <c r="P30" s="24">
        <f>N17</f>
        <v>19706.400000000001</v>
      </c>
      <c r="Q30" s="25">
        <f>P30+O30</f>
        <v>27972.257142857146</v>
      </c>
      <c r="R30" s="23"/>
      <c r="S30" s="18" t="s">
        <v>14</v>
      </c>
      <c r="T30" s="18" t="s">
        <v>51</v>
      </c>
      <c r="U30" s="27">
        <v>4286</v>
      </c>
      <c r="V30" s="19">
        <f>U30*1.35</f>
        <v>5786.1</v>
      </c>
      <c r="W30" s="19">
        <f>V30/0.7</f>
        <v>8265.8571428571431</v>
      </c>
      <c r="X30" s="18">
        <f>R17</f>
        <v>19776</v>
      </c>
      <c r="Y30" s="25">
        <f>X30+W30</f>
        <v>28041.857142857145</v>
      </c>
    </row>
    <row r="31" spans="2:25" x14ac:dyDescent="0.3">
      <c r="B31" s="11">
        <v>2</v>
      </c>
      <c r="C31" s="54"/>
      <c r="D31" s="55"/>
      <c r="E31" s="15" t="s">
        <v>25</v>
      </c>
      <c r="F31" s="49">
        <f t="shared" ref="F31:F40" si="6">Q31</f>
        <v>30364.357142857145</v>
      </c>
      <c r="G31" s="60"/>
      <c r="H31" s="49">
        <f t="shared" ref="H31:H40" si="7">Y31</f>
        <v>30508.357142857145</v>
      </c>
      <c r="I31" s="61"/>
      <c r="K31" s="18" t="s">
        <v>18</v>
      </c>
      <c r="L31" s="18" t="s">
        <v>52</v>
      </c>
      <c r="M31" s="27">
        <v>5385</v>
      </c>
      <c r="N31" s="19">
        <f t="shared" ref="N31:N40" si="8">M31*1.35</f>
        <v>7269.7500000000009</v>
      </c>
      <c r="O31" s="19">
        <f t="shared" ref="O31:O40" si="9">N31/0.7</f>
        <v>10385.357142857145</v>
      </c>
      <c r="P31" s="24">
        <f t="shared" ref="P31:P40" si="10">N18</f>
        <v>19979</v>
      </c>
      <c r="Q31" s="25">
        <f t="shared" ref="Q31:Q40" si="11">P31+O31</f>
        <v>30364.357142857145</v>
      </c>
      <c r="R31" s="22"/>
      <c r="S31" s="18" t="s">
        <v>18</v>
      </c>
      <c r="T31" s="18" t="s">
        <v>52</v>
      </c>
      <c r="U31" s="27">
        <v>5385</v>
      </c>
      <c r="V31" s="19">
        <f t="shared" ref="V31:V40" si="12">U31*1.35</f>
        <v>7269.7500000000009</v>
      </c>
      <c r="W31" s="19">
        <f t="shared" ref="W31:W40" si="13">V31/0.7</f>
        <v>10385.357142857145</v>
      </c>
      <c r="X31" s="18">
        <f t="shared" ref="X31:X40" si="14">R18</f>
        <v>20123</v>
      </c>
      <c r="Y31" s="25">
        <f t="shared" ref="Y31:Y40" si="15">X31+W31</f>
        <v>30508.357142857145</v>
      </c>
    </row>
    <row r="32" spans="2:25" x14ac:dyDescent="0.3">
      <c r="B32" s="11">
        <v>3</v>
      </c>
      <c r="C32" s="54"/>
      <c r="D32" s="55"/>
      <c r="E32" s="15" t="s">
        <v>26</v>
      </c>
      <c r="F32" s="49">
        <f t="shared" si="6"/>
        <v>33804</v>
      </c>
      <c r="G32" s="60"/>
      <c r="H32" s="49">
        <f t="shared" si="7"/>
        <v>34024</v>
      </c>
      <c r="I32" s="61"/>
      <c r="K32" s="18" t="s">
        <v>7</v>
      </c>
      <c r="L32" s="18" t="s">
        <v>53</v>
      </c>
      <c r="M32" s="27">
        <v>7028</v>
      </c>
      <c r="N32" s="19">
        <f t="shared" si="8"/>
        <v>9487.8000000000011</v>
      </c>
      <c r="O32" s="19">
        <f t="shared" si="9"/>
        <v>13554.000000000002</v>
      </c>
      <c r="P32" s="24">
        <f t="shared" si="10"/>
        <v>20250</v>
      </c>
      <c r="Q32" s="25">
        <f t="shared" si="11"/>
        <v>33804</v>
      </c>
      <c r="R32" s="22"/>
      <c r="S32" s="18" t="s">
        <v>7</v>
      </c>
      <c r="T32" s="18" t="s">
        <v>53</v>
      </c>
      <c r="U32" s="27">
        <v>7028</v>
      </c>
      <c r="V32" s="19">
        <f t="shared" si="12"/>
        <v>9487.8000000000011</v>
      </c>
      <c r="W32" s="19">
        <f t="shared" si="13"/>
        <v>13554.000000000002</v>
      </c>
      <c r="X32" s="18">
        <f t="shared" si="14"/>
        <v>20470</v>
      </c>
      <c r="Y32" s="25">
        <f t="shared" si="15"/>
        <v>34024</v>
      </c>
    </row>
    <row r="33" spans="2:25" x14ac:dyDescent="0.3">
      <c r="B33" s="11">
        <v>4</v>
      </c>
      <c r="C33" s="54"/>
      <c r="D33" s="55"/>
      <c r="E33" s="15" t="s">
        <v>27</v>
      </c>
      <c r="F33" s="49">
        <f t="shared" si="6"/>
        <v>38906.400000000001</v>
      </c>
      <c r="G33" s="60"/>
      <c r="H33" s="49">
        <f t="shared" si="7"/>
        <v>39116</v>
      </c>
      <c r="I33" s="61"/>
      <c r="K33" s="18" t="s">
        <v>8</v>
      </c>
      <c r="L33" s="18" t="s">
        <v>53</v>
      </c>
      <c r="M33" s="27">
        <v>7028</v>
      </c>
      <c r="N33" s="19">
        <f t="shared" si="8"/>
        <v>9487.8000000000011</v>
      </c>
      <c r="O33" s="19">
        <f t="shared" si="9"/>
        <v>13554.000000000002</v>
      </c>
      <c r="P33" s="24">
        <f t="shared" si="10"/>
        <v>25352.400000000001</v>
      </c>
      <c r="Q33" s="25">
        <f t="shared" si="11"/>
        <v>38906.400000000001</v>
      </c>
      <c r="R33" s="22"/>
      <c r="S33" s="18" t="s">
        <v>8</v>
      </c>
      <c r="T33" s="18" t="s">
        <v>53</v>
      </c>
      <c r="U33" s="27">
        <v>7028</v>
      </c>
      <c r="V33" s="19">
        <f t="shared" si="12"/>
        <v>9487.8000000000011</v>
      </c>
      <c r="W33" s="19">
        <f t="shared" si="13"/>
        <v>13554.000000000002</v>
      </c>
      <c r="X33" s="18">
        <f t="shared" si="14"/>
        <v>25562</v>
      </c>
      <c r="Y33" s="25">
        <f t="shared" si="15"/>
        <v>39116</v>
      </c>
    </row>
    <row r="34" spans="2:25" x14ac:dyDescent="0.3">
      <c r="B34" s="11">
        <v>5</v>
      </c>
      <c r="C34" s="54"/>
      <c r="D34" s="55"/>
      <c r="E34" s="15" t="s">
        <v>28</v>
      </c>
      <c r="F34" s="49">
        <f t="shared" si="6"/>
        <v>47906.8</v>
      </c>
      <c r="G34" s="60"/>
      <c r="H34" s="49">
        <f t="shared" si="7"/>
        <v>48300.4</v>
      </c>
      <c r="I34" s="61"/>
      <c r="K34" s="18" t="s">
        <v>9</v>
      </c>
      <c r="L34" s="18" t="s">
        <v>54</v>
      </c>
      <c r="M34" s="27">
        <v>9590</v>
      </c>
      <c r="N34" s="19">
        <f t="shared" si="8"/>
        <v>12946.5</v>
      </c>
      <c r="O34" s="19">
        <f t="shared" si="9"/>
        <v>18495</v>
      </c>
      <c r="P34" s="24">
        <f t="shared" si="10"/>
        <v>29411.8</v>
      </c>
      <c r="Q34" s="25">
        <f t="shared" si="11"/>
        <v>47906.8</v>
      </c>
      <c r="R34" s="22"/>
      <c r="S34" s="18" t="s">
        <v>9</v>
      </c>
      <c r="T34" s="18" t="s">
        <v>54</v>
      </c>
      <c r="U34" s="27">
        <v>9590</v>
      </c>
      <c r="V34" s="19">
        <f t="shared" si="12"/>
        <v>12946.5</v>
      </c>
      <c r="W34" s="19">
        <f t="shared" si="13"/>
        <v>18495</v>
      </c>
      <c r="X34" s="18">
        <f t="shared" si="14"/>
        <v>29805.4</v>
      </c>
      <c r="Y34" s="25">
        <f t="shared" si="15"/>
        <v>48300.4</v>
      </c>
    </row>
    <row r="35" spans="2:25" x14ac:dyDescent="0.3">
      <c r="B35" s="11">
        <v>6</v>
      </c>
      <c r="C35" s="54"/>
      <c r="D35" s="55"/>
      <c r="E35" s="15" t="s">
        <v>29</v>
      </c>
      <c r="F35" s="49">
        <f t="shared" si="6"/>
        <v>54101.4</v>
      </c>
      <c r="G35" s="60"/>
      <c r="H35" s="49">
        <f t="shared" si="7"/>
        <v>54650.2</v>
      </c>
      <c r="I35" s="61"/>
      <c r="K35" s="18" t="s">
        <v>10</v>
      </c>
      <c r="L35" s="18" t="s">
        <v>54</v>
      </c>
      <c r="M35" s="27">
        <v>9590</v>
      </c>
      <c r="N35" s="19">
        <f t="shared" si="8"/>
        <v>12946.5</v>
      </c>
      <c r="O35" s="19">
        <f t="shared" si="9"/>
        <v>18495</v>
      </c>
      <c r="P35" s="24">
        <f t="shared" si="10"/>
        <v>35606.400000000001</v>
      </c>
      <c r="Q35" s="25">
        <f t="shared" si="11"/>
        <v>54101.4</v>
      </c>
      <c r="R35" s="22"/>
      <c r="S35" s="18" t="s">
        <v>10</v>
      </c>
      <c r="T35" s="18" t="s">
        <v>54</v>
      </c>
      <c r="U35" s="27">
        <v>9590</v>
      </c>
      <c r="V35" s="19">
        <f t="shared" si="12"/>
        <v>12946.5</v>
      </c>
      <c r="W35" s="19">
        <f t="shared" si="13"/>
        <v>18495</v>
      </c>
      <c r="X35" s="18">
        <f t="shared" si="14"/>
        <v>36155.199999999997</v>
      </c>
      <c r="Y35" s="25">
        <f t="shared" si="15"/>
        <v>54650.2</v>
      </c>
    </row>
    <row r="36" spans="2:25" x14ac:dyDescent="0.3">
      <c r="B36" s="11">
        <v>7</v>
      </c>
      <c r="C36" s="54"/>
      <c r="D36" s="55"/>
      <c r="E36" s="15" t="s">
        <v>30</v>
      </c>
      <c r="F36" s="49">
        <f t="shared" si="6"/>
        <v>82832.114285714299</v>
      </c>
      <c r="G36" s="60"/>
      <c r="H36" s="49">
        <f t="shared" si="7"/>
        <v>83679.314285714296</v>
      </c>
      <c r="I36" s="61"/>
      <c r="K36" s="18" t="s">
        <v>19</v>
      </c>
      <c r="L36" s="18" t="s">
        <v>55</v>
      </c>
      <c r="M36" s="27">
        <v>18512</v>
      </c>
      <c r="N36" s="19">
        <f t="shared" si="8"/>
        <v>24991.200000000001</v>
      </c>
      <c r="O36" s="19">
        <f t="shared" si="9"/>
        <v>35701.71428571429</v>
      </c>
      <c r="P36" s="24">
        <f t="shared" si="10"/>
        <v>47130.400000000009</v>
      </c>
      <c r="Q36" s="25">
        <f t="shared" si="11"/>
        <v>82832.114285714299</v>
      </c>
      <c r="R36" s="22"/>
      <c r="S36" s="18" t="s">
        <v>19</v>
      </c>
      <c r="T36" s="18" t="s">
        <v>55</v>
      </c>
      <c r="U36" s="27">
        <v>18512</v>
      </c>
      <c r="V36" s="19">
        <f t="shared" si="12"/>
        <v>24991.200000000001</v>
      </c>
      <c r="W36" s="19">
        <f t="shared" si="13"/>
        <v>35701.71428571429</v>
      </c>
      <c r="X36" s="18">
        <f t="shared" si="14"/>
        <v>47977.600000000013</v>
      </c>
      <c r="Y36" s="25">
        <f t="shared" si="15"/>
        <v>83679.314285714296</v>
      </c>
    </row>
    <row r="37" spans="2:25" x14ac:dyDescent="0.3">
      <c r="B37" s="11">
        <v>8</v>
      </c>
      <c r="C37" s="54"/>
      <c r="D37" s="55"/>
      <c r="E37" s="15" t="s">
        <v>31</v>
      </c>
      <c r="F37" s="49">
        <f t="shared" si="6"/>
        <v>90911.71428571429</v>
      </c>
      <c r="G37" s="60"/>
      <c r="H37" s="49">
        <f t="shared" si="7"/>
        <v>91809.314285714296</v>
      </c>
      <c r="I37" s="61"/>
      <c r="K37" s="18" t="s">
        <v>11</v>
      </c>
      <c r="L37" s="18" t="s">
        <v>55</v>
      </c>
      <c r="M37" s="27">
        <v>18512</v>
      </c>
      <c r="N37" s="19">
        <f t="shared" si="8"/>
        <v>24991.200000000001</v>
      </c>
      <c r="O37" s="19">
        <f t="shared" si="9"/>
        <v>35701.71428571429</v>
      </c>
      <c r="P37" s="24">
        <f t="shared" si="10"/>
        <v>55210</v>
      </c>
      <c r="Q37" s="25">
        <f t="shared" si="11"/>
        <v>90911.71428571429</v>
      </c>
      <c r="R37" s="22"/>
      <c r="S37" s="18" t="s">
        <v>11</v>
      </c>
      <c r="T37" s="18" t="s">
        <v>55</v>
      </c>
      <c r="U37" s="27">
        <v>18512</v>
      </c>
      <c r="V37" s="19">
        <f t="shared" si="12"/>
        <v>24991.200000000001</v>
      </c>
      <c r="W37" s="19">
        <f t="shared" si="13"/>
        <v>35701.71428571429</v>
      </c>
      <c r="X37" s="18">
        <f t="shared" si="14"/>
        <v>56107.600000000013</v>
      </c>
      <c r="Y37" s="25">
        <f t="shared" si="15"/>
        <v>91809.314285714296</v>
      </c>
    </row>
    <row r="38" spans="2:25" x14ac:dyDescent="0.3">
      <c r="B38" s="11">
        <v>9</v>
      </c>
      <c r="C38" s="54"/>
      <c r="D38" s="55"/>
      <c r="E38" s="15" t="s">
        <v>32</v>
      </c>
      <c r="F38" s="49">
        <f t="shared" si="6"/>
        <v>124641.1</v>
      </c>
      <c r="G38" s="60"/>
      <c r="H38" s="49">
        <f t="shared" si="7"/>
        <v>126408.30000000002</v>
      </c>
      <c r="I38" s="61"/>
      <c r="K38" s="18" t="s">
        <v>15</v>
      </c>
      <c r="L38" s="18" t="s">
        <v>56</v>
      </c>
      <c r="M38" s="27">
        <v>26719</v>
      </c>
      <c r="N38" s="19">
        <f t="shared" si="8"/>
        <v>36070.65</v>
      </c>
      <c r="O38" s="19">
        <f t="shared" si="9"/>
        <v>51529.500000000007</v>
      </c>
      <c r="P38" s="24">
        <f t="shared" si="10"/>
        <v>73111.600000000006</v>
      </c>
      <c r="Q38" s="25">
        <f t="shared" si="11"/>
        <v>124641.1</v>
      </c>
      <c r="R38" s="22"/>
      <c r="S38" s="18" t="s">
        <v>15</v>
      </c>
      <c r="T38" s="18" t="s">
        <v>56</v>
      </c>
      <c r="U38" s="27">
        <v>26719</v>
      </c>
      <c r="V38" s="19">
        <f t="shared" si="12"/>
        <v>36070.65</v>
      </c>
      <c r="W38" s="19">
        <f t="shared" si="13"/>
        <v>51529.500000000007</v>
      </c>
      <c r="X38" s="18">
        <f t="shared" si="14"/>
        <v>74878.800000000017</v>
      </c>
      <c r="Y38" s="25">
        <f t="shared" si="15"/>
        <v>126408.30000000002</v>
      </c>
    </row>
    <row r="39" spans="2:25" x14ac:dyDescent="0.3">
      <c r="B39" s="11">
        <v>10</v>
      </c>
      <c r="C39" s="54"/>
      <c r="D39" s="55"/>
      <c r="E39" s="15" t="s">
        <v>33</v>
      </c>
      <c r="F39" s="49">
        <f t="shared" si="6"/>
        <v>170372.8142857143</v>
      </c>
      <c r="G39" s="60"/>
      <c r="H39" s="49">
        <f t="shared" si="7"/>
        <v>172584.8142857143</v>
      </c>
      <c r="I39" s="61"/>
      <c r="K39" s="18" t="s">
        <v>16</v>
      </c>
      <c r="L39" s="18" t="s">
        <v>57</v>
      </c>
      <c r="M39" s="27">
        <v>40163</v>
      </c>
      <c r="N39" s="19">
        <f t="shared" si="8"/>
        <v>54220.05</v>
      </c>
      <c r="O39" s="19">
        <f t="shared" si="9"/>
        <v>77457.21428571429</v>
      </c>
      <c r="P39" s="24">
        <f t="shared" si="10"/>
        <v>92915.6</v>
      </c>
      <c r="Q39" s="25">
        <f t="shared" si="11"/>
        <v>170372.8142857143</v>
      </c>
      <c r="R39"/>
      <c r="S39" s="18" t="s">
        <v>16</v>
      </c>
      <c r="T39" s="18" t="s">
        <v>57</v>
      </c>
      <c r="U39" s="27">
        <v>40163</v>
      </c>
      <c r="V39" s="19">
        <f t="shared" si="12"/>
        <v>54220.05</v>
      </c>
      <c r="W39" s="19">
        <f t="shared" si="13"/>
        <v>77457.21428571429</v>
      </c>
      <c r="X39" s="18">
        <f t="shared" si="14"/>
        <v>95127.60000000002</v>
      </c>
      <c r="Y39" s="25">
        <f t="shared" si="15"/>
        <v>172584.8142857143</v>
      </c>
    </row>
    <row r="40" spans="2:25" x14ac:dyDescent="0.3">
      <c r="B40" s="11">
        <v>11</v>
      </c>
      <c r="C40" s="54"/>
      <c r="D40" s="55"/>
      <c r="E40" s="15" t="s">
        <v>34</v>
      </c>
      <c r="F40" s="49">
        <f t="shared" si="6"/>
        <v>207254.7</v>
      </c>
      <c r="G40" s="60"/>
      <c r="H40" s="49">
        <f t="shared" si="7"/>
        <v>209909.10000000003</v>
      </c>
      <c r="I40" s="61"/>
      <c r="K40" s="18" t="s">
        <v>17</v>
      </c>
      <c r="L40" s="18" t="s">
        <v>50</v>
      </c>
      <c r="M40" s="27">
        <v>49651</v>
      </c>
      <c r="N40" s="19">
        <f t="shared" si="8"/>
        <v>67028.850000000006</v>
      </c>
      <c r="O40" s="19">
        <f t="shared" si="9"/>
        <v>95755.500000000015</v>
      </c>
      <c r="P40" s="24">
        <f t="shared" si="10"/>
        <v>111499.19999999998</v>
      </c>
      <c r="Q40" s="25">
        <f t="shared" si="11"/>
        <v>207254.7</v>
      </c>
      <c r="R40"/>
      <c r="S40" s="18" t="s">
        <v>17</v>
      </c>
      <c r="T40" s="18" t="s">
        <v>50</v>
      </c>
      <c r="U40" s="27">
        <v>49651</v>
      </c>
      <c r="V40" s="19">
        <f t="shared" si="12"/>
        <v>67028.850000000006</v>
      </c>
      <c r="W40" s="19">
        <f t="shared" si="13"/>
        <v>95755.500000000015</v>
      </c>
      <c r="X40" s="18">
        <f t="shared" si="14"/>
        <v>114153.60000000001</v>
      </c>
      <c r="Y40" s="25">
        <f t="shared" si="15"/>
        <v>209909.10000000003</v>
      </c>
    </row>
    <row r="41" spans="2:25" ht="18.75" x14ac:dyDescent="0.3">
      <c r="B41" s="51" t="s">
        <v>3</v>
      </c>
      <c r="C41" s="45" t="s">
        <v>4</v>
      </c>
      <c r="D41" s="45" t="s">
        <v>5</v>
      </c>
      <c r="E41" s="45" t="s">
        <v>6</v>
      </c>
      <c r="F41" s="52" t="s">
        <v>98</v>
      </c>
      <c r="G41" s="52"/>
      <c r="H41" s="52"/>
      <c r="I41" s="53"/>
      <c r="K41" s="59" t="s">
        <v>40</v>
      </c>
      <c r="L41" s="59"/>
      <c r="M41" s="59"/>
      <c r="N41" s="59"/>
      <c r="O41" s="59"/>
      <c r="P41" s="59"/>
      <c r="Q41" s="59"/>
      <c r="S41" s="59" t="s">
        <v>40</v>
      </c>
      <c r="T41" s="59"/>
      <c r="U41" s="59"/>
      <c r="V41" s="59"/>
      <c r="W41" s="59"/>
      <c r="X41" s="59"/>
      <c r="Y41" s="59"/>
    </row>
    <row r="42" spans="2:25" ht="18.75" x14ac:dyDescent="0.3">
      <c r="B42" s="51"/>
      <c r="C42" s="45"/>
      <c r="D42" s="45"/>
      <c r="E42" s="45"/>
      <c r="F42" s="52" t="s">
        <v>12</v>
      </c>
      <c r="G42" s="52"/>
      <c r="H42" s="52" t="s">
        <v>13</v>
      </c>
      <c r="I42" s="53"/>
      <c r="K42" s="18" t="s">
        <v>47</v>
      </c>
      <c r="L42" s="18" t="s">
        <v>48</v>
      </c>
      <c r="M42" s="18" t="s">
        <v>49</v>
      </c>
      <c r="N42" s="18" t="s">
        <v>100</v>
      </c>
      <c r="O42" s="18" t="s">
        <v>69</v>
      </c>
      <c r="P42" s="18" t="s">
        <v>71</v>
      </c>
      <c r="Q42" s="28" t="s">
        <v>70</v>
      </c>
      <c r="S42" s="18" t="s">
        <v>47</v>
      </c>
      <c r="T42" s="18" t="s">
        <v>48</v>
      </c>
      <c r="U42" s="18" t="s">
        <v>49</v>
      </c>
      <c r="V42" s="18" t="s">
        <v>100</v>
      </c>
      <c r="W42" s="18" t="s">
        <v>69</v>
      </c>
      <c r="X42" s="18" t="s">
        <v>72</v>
      </c>
      <c r="Y42" s="28" t="s">
        <v>70</v>
      </c>
    </row>
    <row r="43" spans="2:25" x14ac:dyDescent="0.3">
      <c r="B43" s="11">
        <v>1</v>
      </c>
      <c r="C43" s="54" t="s">
        <v>113</v>
      </c>
      <c r="D43" s="55"/>
      <c r="E43" s="15" t="s">
        <v>24</v>
      </c>
      <c r="F43" s="49">
        <f>Q43</f>
        <v>32481.257142857146</v>
      </c>
      <c r="G43" s="60"/>
      <c r="H43" s="49">
        <f>Y43</f>
        <v>32550.857142857145</v>
      </c>
      <c r="I43" s="61"/>
      <c r="K43" s="18" t="s">
        <v>14</v>
      </c>
      <c r="L43" s="18" t="s">
        <v>59</v>
      </c>
      <c r="M43" s="27">
        <v>6624</v>
      </c>
      <c r="N43" s="19">
        <f>M43*1.35</f>
        <v>8942.4000000000015</v>
      </c>
      <c r="O43" s="19">
        <f>N43/0.7</f>
        <v>12774.857142857145</v>
      </c>
      <c r="P43" s="24">
        <f>N17</f>
        <v>19706.400000000001</v>
      </c>
      <c r="Q43" s="25">
        <f>P43+O43</f>
        <v>32481.257142857146</v>
      </c>
      <c r="S43" s="18" t="s">
        <v>14</v>
      </c>
      <c r="T43" s="18" t="s">
        <v>59</v>
      </c>
      <c r="U43" s="27">
        <v>6624</v>
      </c>
      <c r="V43" s="19">
        <f>U43*1.35</f>
        <v>8942.4000000000015</v>
      </c>
      <c r="W43" s="19">
        <f>V43/0.7</f>
        <v>12774.857142857145</v>
      </c>
      <c r="X43" s="18">
        <f>R17</f>
        <v>19776</v>
      </c>
      <c r="Y43" s="25">
        <f>X43+W43</f>
        <v>32550.857142857145</v>
      </c>
    </row>
    <row r="44" spans="2:25" x14ac:dyDescent="0.3">
      <c r="B44" s="11">
        <v>2</v>
      </c>
      <c r="C44" s="54"/>
      <c r="D44" s="55"/>
      <c r="E44" s="15" t="s">
        <v>25</v>
      </c>
      <c r="F44" s="49">
        <f t="shared" ref="F44:F53" si="16">Q44</f>
        <v>36636.071428571435</v>
      </c>
      <c r="G44" s="60"/>
      <c r="H44" s="49">
        <f t="shared" ref="H44:H53" si="17">Y44</f>
        <v>36780.071428571435</v>
      </c>
      <c r="I44" s="61"/>
      <c r="K44" s="18" t="s">
        <v>18</v>
      </c>
      <c r="L44" s="18" t="s">
        <v>60</v>
      </c>
      <c r="M44" s="27">
        <v>8637</v>
      </c>
      <c r="N44" s="19">
        <f t="shared" ref="N44:N53" si="18">M44*1.35</f>
        <v>11659.95</v>
      </c>
      <c r="O44" s="19">
        <f t="shared" ref="O44:O53" si="19">N44/0.7</f>
        <v>16657.071428571431</v>
      </c>
      <c r="P44" s="24">
        <f t="shared" ref="P44:P53" si="20">N18</f>
        <v>19979</v>
      </c>
      <c r="Q44" s="25">
        <f t="shared" ref="Q44:Q53" si="21">P44+O44</f>
        <v>36636.071428571435</v>
      </c>
      <c r="S44" s="18" t="s">
        <v>18</v>
      </c>
      <c r="T44" s="18" t="s">
        <v>60</v>
      </c>
      <c r="U44" s="27">
        <v>8637</v>
      </c>
      <c r="V44" s="19">
        <f t="shared" ref="V44:V53" si="22">U44*1.35</f>
        <v>11659.95</v>
      </c>
      <c r="W44" s="19">
        <f t="shared" ref="W44:W53" si="23">V44/0.7</f>
        <v>16657.071428571431</v>
      </c>
      <c r="X44" s="18">
        <f t="shared" ref="X44:X53" si="24">R18</f>
        <v>20123</v>
      </c>
      <c r="Y44" s="25">
        <f t="shared" ref="Y44:Y53" si="25">X44+W44</f>
        <v>36780.071428571435</v>
      </c>
    </row>
    <row r="45" spans="2:25" x14ac:dyDescent="0.3">
      <c r="B45" s="11">
        <v>3</v>
      </c>
      <c r="C45" s="54"/>
      <c r="D45" s="55"/>
      <c r="E45" s="15" t="s">
        <v>26</v>
      </c>
      <c r="F45" s="49">
        <f t="shared" si="16"/>
        <v>42615.642857142855</v>
      </c>
      <c r="G45" s="60"/>
      <c r="H45" s="49">
        <f t="shared" si="17"/>
        <v>42835.642857142855</v>
      </c>
      <c r="I45" s="61"/>
      <c r="K45" s="18" t="s">
        <v>7</v>
      </c>
      <c r="L45" s="18" t="s">
        <v>61</v>
      </c>
      <c r="M45" s="27">
        <v>11597</v>
      </c>
      <c r="N45" s="19">
        <f t="shared" si="18"/>
        <v>15655.95</v>
      </c>
      <c r="O45" s="19">
        <f t="shared" si="19"/>
        <v>22365.642857142859</v>
      </c>
      <c r="P45" s="24">
        <f t="shared" si="20"/>
        <v>20250</v>
      </c>
      <c r="Q45" s="25">
        <f t="shared" si="21"/>
        <v>42615.642857142855</v>
      </c>
      <c r="S45" s="18" t="s">
        <v>7</v>
      </c>
      <c r="T45" s="18" t="s">
        <v>61</v>
      </c>
      <c r="U45" s="27">
        <v>11597</v>
      </c>
      <c r="V45" s="19">
        <f t="shared" si="22"/>
        <v>15655.95</v>
      </c>
      <c r="W45" s="19">
        <f t="shared" si="23"/>
        <v>22365.642857142859</v>
      </c>
      <c r="X45" s="18">
        <f t="shared" si="24"/>
        <v>20470</v>
      </c>
      <c r="Y45" s="25">
        <f t="shared" si="25"/>
        <v>42835.642857142855</v>
      </c>
    </row>
    <row r="46" spans="2:25" x14ac:dyDescent="0.3">
      <c r="B46" s="11">
        <v>4</v>
      </c>
      <c r="C46" s="54"/>
      <c r="D46" s="55"/>
      <c r="E46" s="15" t="s">
        <v>27</v>
      </c>
      <c r="F46" s="49">
        <f t="shared" si="16"/>
        <v>53127.685714285719</v>
      </c>
      <c r="G46" s="60"/>
      <c r="H46" s="49">
        <f t="shared" si="17"/>
        <v>53337.285714285717</v>
      </c>
      <c r="I46" s="61"/>
      <c r="K46" s="18" t="s">
        <v>8</v>
      </c>
      <c r="L46" s="18" t="s">
        <v>62</v>
      </c>
      <c r="M46" s="27">
        <v>14402</v>
      </c>
      <c r="N46" s="19">
        <f t="shared" si="18"/>
        <v>19442.7</v>
      </c>
      <c r="O46" s="19">
        <f t="shared" si="19"/>
        <v>27775.285714285717</v>
      </c>
      <c r="P46" s="24">
        <f t="shared" si="20"/>
        <v>25352.400000000001</v>
      </c>
      <c r="Q46" s="25">
        <f t="shared" si="21"/>
        <v>53127.685714285719</v>
      </c>
      <c r="S46" s="18" t="s">
        <v>8</v>
      </c>
      <c r="T46" s="18" t="s">
        <v>62</v>
      </c>
      <c r="U46" s="27">
        <v>14402</v>
      </c>
      <c r="V46" s="19">
        <f t="shared" si="22"/>
        <v>19442.7</v>
      </c>
      <c r="W46" s="19">
        <f t="shared" si="23"/>
        <v>27775.285714285717</v>
      </c>
      <c r="X46" s="18">
        <f t="shared" si="24"/>
        <v>25562</v>
      </c>
      <c r="Y46" s="25">
        <f t="shared" si="25"/>
        <v>53337.285714285717</v>
      </c>
    </row>
    <row r="47" spans="2:25" x14ac:dyDescent="0.3">
      <c r="B47" s="11">
        <v>5</v>
      </c>
      <c r="C47" s="54"/>
      <c r="D47" s="55"/>
      <c r="E47" s="15" t="s">
        <v>28</v>
      </c>
      <c r="F47" s="49">
        <f t="shared" si="16"/>
        <v>57187.085714285713</v>
      </c>
      <c r="G47" s="60"/>
      <c r="H47" s="49">
        <f t="shared" si="17"/>
        <v>57580.685714285719</v>
      </c>
      <c r="I47" s="61"/>
      <c r="K47" s="18" t="s">
        <v>9</v>
      </c>
      <c r="L47" s="18" t="s">
        <v>62</v>
      </c>
      <c r="M47" s="27">
        <v>14402</v>
      </c>
      <c r="N47" s="19">
        <f t="shared" si="18"/>
        <v>19442.7</v>
      </c>
      <c r="O47" s="19">
        <f t="shared" si="19"/>
        <v>27775.285714285717</v>
      </c>
      <c r="P47" s="24">
        <f t="shared" si="20"/>
        <v>29411.8</v>
      </c>
      <c r="Q47" s="25">
        <f t="shared" si="21"/>
        <v>57187.085714285713</v>
      </c>
      <c r="S47" s="18" t="s">
        <v>9</v>
      </c>
      <c r="T47" s="18" t="s">
        <v>62</v>
      </c>
      <c r="U47" s="27">
        <v>14402</v>
      </c>
      <c r="V47" s="19">
        <f t="shared" si="22"/>
        <v>19442.7</v>
      </c>
      <c r="W47" s="19">
        <f t="shared" si="23"/>
        <v>27775.285714285717</v>
      </c>
      <c r="X47" s="24">
        <f t="shared" si="24"/>
        <v>29805.4</v>
      </c>
      <c r="Y47" s="25">
        <f t="shared" si="25"/>
        <v>57580.685714285719</v>
      </c>
    </row>
    <row r="48" spans="2:25" x14ac:dyDescent="0.3">
      <c r="B48" s="11">
        <v>6</v>
      </c>
      <c r="C48" s="54"/>
      <c r="D48" s="55"/>
      <c r="E48" s="15" t="s">
        <v>29</v>
      </c>
      <c r="F48" s="49">
        <f t="shared" si="16"/>
        <v>79872.900000000009</v>
      </c>
      <c r="G48" s="60"/>
      <c r="H48" s="49">
        <f t="shared" si="17"/>
        <v>80421.700000000012</v>
      </c>
      <c r="I48" s="61"/>
      <c r="K48" s="18" t="s">
        <v>10</v>
      </c>
      <c r="L48" s="18" t="s">
        <v>63</v>
      </c>
      <c r="M48" s="27">
        <v>22953</v>
      </c>
      <c r="N48" s="19">
        <f t="shared" si="18"/>
        <v>30986.550000000003</v>
      </c>
      <c r="O48" s="19">
        <f t="shared" si="19"/>
        <v>44266.500000000007</v>
      </c>
      <c r="P48" s="24">
        <f t="shared" si="20"/>
        <v>35606.400000000001</v>
      </c>
      <c r="Q48" s="25">
        <f t="shared" si="21"/>
        <v>79872.900000000009</v>
      </c>
      <c r="S48" s="18" t="s">
        <v>10</v>
      </c>
      <c r="T48" s="18" t="s">
        <v>63</v>
      </c>
      <c r="U48" s="27">
        <v>22953</v>
      </c>
      <c r="V48" s="19">
        <f t="shared" si="22"/>
        <v>30986.550000000003</v>
      </c>
      <c r="W48" s="19">
        <f t="shared" si="23"/>
        <v>44266.500000000007</v>
      </c>
      <c r="X48" s="24">
        <f t="shared" si="24"/>
        <v>36155.199999999997</v>
      </c>
      <c r="Y48" s="25">
        <f t="shared" si="25"/>
        <v>80421.700000000012</v>
      </c>
    </row>
    <row r="49" spans="2:25" x14ac:dyDescent="0.3">
      <c r="B49" s="11">
        <v>7</v>
      </c>
      <c r="C49" s="54"/>
      <c r="D49" s="55"/>
      <c r="E49" s="15" t="s">
        <v>30</v>
      </c>
      <c r="F49" s="49">
        <f t="shared" si="16"/>
        <v>110649.8285714286</v>
      </c>
      <c r="G49" s="60"/>
      <c r="H49" s="49">
        <f t="shared" si="17"/>
        <v>111497.0285714286</v>
      </c>
      <c r="I49" s="61"/>
      <c r="K49" s="18" t="s">
        <v>19</v>
      </c>
      <c r="L49" s="18" t="s">
        <v>64</v>
      </c>
      <c r="M49" s="27">
        <v>32936</v>
      </c>
      <c r="N49" s="19">
        <f t="shared" si="18"/>
        <v>44463.600000000006</v>
      </c>
      <c r="O49" s="19">
        <f t="shared" si="19"/>
        <v>63519.428571428587</v>
      </c>
      <c r="P49" s="24">
        <f t="shared" si="20"/>
        <v>47130.400000000009</v>
      </c>
      <c r="Q49" s="25">
        <f t="shared" si="21"/>
        <v>110649.8285714286</v>
      </c>
      <c r="S49" s="18" t="s">
        <v>19</v>
      </c>
      <c r="T49" s="18" t="s">
        <v>64</v>
      </c>
      <c r="U49" s="27">
        <v>32936</v>
      </c>
      <c r="V49" s="19">
        <f t="shared" si="22"/>
        <v>44463.600000000006</v>
      </c>
      <c r="W49" s="19">
        <f t="shared" si="23"/>
        <v>63519.428571428587</v>
      </c>
      <c r="X49" s="24">
        <f t="shared" si="24"/>
        <v>47977.600000000013</v>
      </c>
      <c r="Y49" s="25">
        <f t="shared" si="25"/>
        <v>111497.0285714286</v>
      </c>
    </row>
    <row r="50" spans="2:25" x14ac:dyDescent="0.3">
      <c r="B50" s="11">
        <v>8</v>
      </c>
      <c r="C50" s="54"/>
      <c r="D50" s="55"/>
      <c r="E50" s="15" t="s">
        <v>31</v>
      </c>
      <c r="F50" s="49">
        <f t="shared" si="16"/>
        <v>118729.42857142858</v>
      </c>
      <c r="G50" s="60"/>
      <c r="H50" s="49">
        <f t="shared" si="17"/>
        <v>119627.0285714286</v>
      </c>
      <c r="I50" s="61"/>
      <c r="K50" s="18" t="s">
        <v>11</v>
      </c>
      <c r="L50" s="18" t="s">
        <v>64</v>
      </c>
      <c r="M50" s="27">
        <v>32936</v>
      </c>
      <c r="N50" s="19">
        <f t="shared" si="18"/>
        <v>44463.600000000006</v>
      </c>
      <c r="O50" s="19">
        <f t="shared" si="19"/>
        <v>63519.428571428587</v>
      </c>
      <c r="P50" s="24">
        <f t="shared" si="20"/>
        <v>55210</v>
      </c>
      <c r="Q50" s="25">
        <f t="shared" si="21"/>
        <v>118729.42857142858</v>
      </c>
      <c r="S50" s="18" t="s">
        <v>11</v>
      </c>
      <c r="T50" s="18" t="s">
        <v>64</v>
      </c>
      <c r="U50" s="27">
        <v>32936</v>
      </c>
      <c r="V50" s="19">
        <f t="shared" si="22"/>
        <v>44463.600000000006</v>
      </c>
      <c r="W50" s="19">
        <f t="shared" si="23"/>
        <v>63519.428571428587</v>
      </c>
      <c r="X50" s="24">
        <f t="shared" si="24"/>
        <v>56107.600000000013</v>
      </c>
      <c r="Y50" s="25">
        <f t="shared" si="25"/>
        <v>119627.0285714286</v>
      </c>
    </row>
    <row r="51" spans="2:25" x14ac:dyDescent="0.3">
      <c r="B51" s="11">
        <v>9</v>
      </c>
      <c r="C51" s="54"/>
      <c r="D51" s="55"/>
      <c r="E51" s="15" t="s">
        <v>32</v>
      </c>
      <c r="F51" s="49">
        <f t="shared" si="16"/>
        <v>170876.67142857146</v>
      </c>
      <c r="G51" s="60"/>
      <c r="H51" s="49">
        <f t="shared" si="17"/>
        <v>172643.87142857147</v>
      </c>
      <c r="I51" s="61"/>
      <c r="K51" s="18" t="s">
        <v>15</v>
      </c>
      <c r="L51" s="18" t="s">
        <v>65</v>
      </c>
      <c r="M51" s="27">
        <v>50693</v>
      </c>
      <c r="N51" s="19">
        <f t="shared" si="18"/>
        <v>68435.55</v>
      </c>
      <c r="O51" s="19">
        <f t="shared" si="19"/>
        <v>97765.071428571435</v>
      </c>
      <c r="P51" s="24">
        <f t="shared" si="20"/>
        <v>73111.600000000006</v>
      </c>
      <c r="Q51" s="25">
        <f t="shared" si="21"/>
        <v>170876.67142857146</v>
      </c>
      <c r="S51" s="18" t="s">
        <v>15</v>
      </c>
      <c r="T51" s="18" t="s">
        <v>65</v>
      </c>
      <c r="U51" s="27">
        <v>50693</v>
      </c>
      <c r="V51" s="19">
        <f t="shared" si="22"/>
        <v>68435.55</v>
      </c>
      <c r="W51" s="19">
        <f t="shared" si="23"/>
        <v>97765.071428571435</v>
      </c>
      <c r="X51" s="24">
        <f t="shared" si="24"/>
        <v>74878.800000000017</v>
      </c>
      <c r="Y51" s="25">
        <f t="shared" si="25"/>
        <v>172643.87142857147</v>
      </c>
    </row>
    <row r="52" spans="2:25" x14ac:dyDescent="0.3">
      <c r="B52" s="11">
        <v>10</v>
      </c>
      <c r="C52" s="54"/>
      <c r="D52" s="55"/>
      <c r="E52" s="15" t="s">
        <v>33</v>
      </c>
      <c r="F52" s="49">
        <f t="shared" si="16"/>
        <v>224058.45714285717</v>
      </c>
      <c r="G52" s="60"/>
      <c r="H52" s="49">
        <f t="shared" si="17"/>
        <v>226270.45714285719</v>
      </c>
      <c r="I52" s="61"/>
      <c r="K52" s="20" t="s">
        <v>16</v>
      </c>
      <c r="L52" s="20" t="s">
        <v>58</v>
      </c>
      <c r="M52" s="37">
        <v>68000</v>
      </c>
      <c r="N52" s="19">
        <f t="shared" si="18"/>
        <v>91800</v>
      </c>
      <c r="O52" s="21">
        <f t="shared" si="19"/>
        <v>131142.85714285716</v>
      </c>
      <c r="P52" s="38">
        <f t="shared" si="20"/>
        <v>92915.6</v>
      </c>
      <c r="Q52" s="30">
        <f t="shared" si="21"/>
        <v>224058.45714285717</v>
      </c>
      <c r="S52" s="20" t="s">
        <v>16</v>
      </c>
      <c r="T52" s="20" t="s">
        <v>58</v>
      </c>
      <c r="U52" s="37">
        <v>68000</v>
      </c>
      <c r="V52" s="19">
        <f t="shared" si="22"/>
        <v>91800</v>
      </c>
      <c r="W52" s="21">
        <f t="shared" si="23"/>
        <v>131142.85714285716</v>
      </c>
      <c r="X52" s="38">
        <f t="shared" si="24"/>
        <v>95127.60000000002</v>
      </c>
      <c r="Y52" s="30">
        <f t="shared" si="25"/>
        <v>226270.45714285719</v>
      </c>
    </row>
    <row r="53" spans="2:25" x14ac:dyDescent="0.3">
      <c r="B53" s="11">
        <v>11</v>
      </c>
      <c r="C53" s="54"/>
      <c r="D53" s="55"/>
      <c r="E53" s="15" t="s">
        <v>34</v>
      </c>
      <c r="F53" s="49">
        <f t="shared" si="16"/>
        <v>366070.62857142859</v>
      </c>
      <c r="G53" s="60"/>
      <c r="H53" s="49">
        <f t="shared" si="17"/>
        <v>368725.02857142861</v>
      </c>
      <c r="I53" s="61"/>
      <c r="K53" s="18" t="s">
        <v>17</v>
      </c>
      <c r="L53" s="18" t="s">
        <v>66</v>
      </c>
      <c r="M53" s="27">
        <v>132000</v>
      </c>
      <c r="N53" s="19">
        <f t="shared" si="18"/>
        <v>178200</v>
      </c>
      <c r="O53" s="19">
        <f t="shared" si="19"/>
        <v>254571.42857142858</v>
      </c>
      <c r="P53" s="24">
        <f t="shared" si="20"/>
        <v>111499.19999999998</v>
      </c>
      <c r="Q53" s="25">
        <f t="shared" si="21"/>
        <v>366070.62857142859</v>
      </c>
      <c r="S53" s="18" t="s">
        <v>17</v>
      </c>
      <c r="T53" s="18" t="s">
        <v>66</v>
      </c>
      <c r="U53" s="27">
        <v>132000</v>
      </c>
      <c r="V53" s="19">
        <f t="shared" si="22"/>
        <v>178200</v>
      </c>
      <c r="W53" s="19">
        <f t="shared" si="23"/>
        <v>254571.42857142858</v>
      </c>
      <c r="X53" s="24">
        <f t="shared" si="24"/>
        <v>114153.60000000001</v>
      </c>
      <c r="Y53" s="25">
        <f t="shared" si="25"/>
        <v>368725.02857142861</v>
      </c>
    </row>
    <row r="54" spans="2:25" ht="16.5" customHeight="1" x14ac:dyDescent="0.3">
      <c r="B54" s="51" t="s">
        <v>3</v>
      </c>
      <c r="C54" s="45" t="s">
        <v>4</v>
      </c>
      <c r="D54" s="45" t="s">
        <v>5</v>
      </c>
      <c r="E54" s="45" t="s">
        <v>6</v>
      </c>
      <c r="F54" s="52" t="s">
        <v>98</v>
      </c>
      <c r="G54" s="52"/>
      <c r="H54" s="52"/>
      <c r="I54" s="53"/>
      <c r="K54" s="59" t="s">
        <v>41</v>
      </c>
      <c r="L54" s="59"/>
      <c r="M54" s="59"/>
      <c r="N54" s="59"/>
      <c r="O54" s="59"/>
      <c r="P54" s="59"/>
      <c r="Q54" s="26"/>
      <c r="S54" s="59" t="s">
        <v>41</v>
      </c>
      <c r="T54" s="59"/>
      <c r="U54" s="59"/>
      <c r="V54" s="59"/>
      <c r="W54" s="59"/>
      <c r="X54" s="59"/>
      <c r="Y54" s="29"/>
    </row>
    <row r="55" spans="2:25" ht="18.75" x14ac:dyDescent="0.3">
      <c r="B55" s="51"/>
      <c r="C55" s="45"/>
      <c r="D55" s="45"/>
      <c r="E55" s="45"/>
      <c r="F55" s="52" t="s">
        <v>12</v>
      </c>
      <c r="G55" s="52"/>
      <c r="H55" s="52" t="s">
        <v>13</v>
      </c>
      <c r="I55" s="53"/>
      <c r="K55" s="18" t="s">
        <v>47</v>
      </c>
      <c r="L55" s="18" t="s">
        <v>74</v>
      </c>
      <c r="M55" s="18" t="s">
        <v>73</v>
      </c>
      <c r="N55" s="18" t="s">
        <v>100</v>
      </c>
      <c r="O55" s="27" t="s">
        <v>69</v>
      </c>
      <c r="P55" s="28" t="s">
        <v>70</v>
      </c>
      <c r="Q55" s="23"/>
      <c r="S55" s="18" t="s">
        <v>47</v>
      </c>
      <c r="T55" s="18" t="s">
        <v>75</v>
      </c>
      <c r="U55" s="18" t="s">
        <v>73</v>
      </c>
      <c r="V55" s="18" t="s">
        <v>100</v>
      </c>
      <c r="W55" s="27" t="s">
        <v>69</v>
      </c>
      <c r="X55" s="28" t="s">
        <v>70</v>
      </c>
      <c r="Y55" s="29"/>
    </row>
    <row r="56" spans="2:25" x14ac:dyDescent="0.3">
      <c r="B56" s="11">
        <v>1</v>
      </c>
      <c r="C56" s="54" t="s">
        <v>114</v>
      </c>
      <c r="D56" s="55"/>
      <c r="E56" s="15" t="s">
        <v>24</v>
      </c>
      <c r="F56" s="49">
        <f>P56</f>
        <v>30730.114285714291</v>
      </c>
      <c r="G56" s="49"/>
      <c r="H56" s="49">
        <f>X56</f>
        <v>30799.71428571429</v>
      </c>
      <c r="I56" s="50"/>
      <c r="K56" s="18" t="s">
        <v>14</v>
      </c>
      <c r="L56" s="19">
        <f t="shared" ref="L56:L66" si="26">Q30</f>
        <v>27972.257142857146</v>
      </c>
      <c r="M56" s="27">
        <v>1430</v>
      </c>
      <c r="N56" s="19">
        <f>M56*1.35</f>
        <v>1930.5000000000002</v>
      </c>
      <c r="O56" s="19">
        <f>N56/0.7</f>
        <v>2757.8571428571436</v>
      </c>
      <c r="P56" s="25">
        <f>L56+O56</f>
        <v>30730.114285714291</v>
      </c>
      <c r="Q56" s="23"/>
      <c r="S56" s="18" t="s">
        <v>14</v>
      </c>
      <c r="T56" s="19">
        <f t="shared" ref="T56:T66" si="27">Y30</f>
        <v>28041.857142857145</v>
      </c>
      <c r="U56" s="27">
        <v>1430</v>
      </c>
      <c r="V56" s="19">
        <f>U56*1.35</f>
        <v>1930.5000000000002</v>
      </c>
      <c r="W56" s="19">
        <f>V56/0.7</f>
        <v>2757.8571428571436</v>
      </c>
      <c r="X56" s="25">
        <f>T56+W56</f>
        <v>30799.71428571429</v>
      </c>
      <c r="Y56" s="29"/>
    </row>
    <row r="57" spans="2:25" x14ac:dyDescent="0.3">
      <c r="B57" s="11">
        <v>2</v>
      </c>
      <c r="C57" s="54"/>
      <c r="D57" s="55"/>
      <c r="E57" s="15" t="s">
        <v>25</v>
      </c>
      <c r="F57" s="49">
        <f t="shared" ref="F57:F66" si="28">P57</f>
        <v>33122.21428571429</v>
      </c>
      <c r="G57" s="49"/>
      <c r="H57" s="49">
        <f t="shared" ref="H57:H66" si="29">X57</f>
        <v>33266.21428571429</v>
      </c>
      <c r="I57" s="50"/>
      <c r="K57" s="18" t="s">
        <v>18</v>
      </c>
      <c r="L57" s="19">
        <f t="shared" si="26"/>
        <v>30364.357142857145</v>
      </c>
      <c r="M57" s="27">
        <v>1430</v>
      </c>
      <c r="N57" s="19">
        <f t="shared" ref="N57:N66" si="30">M57*1.35</f>
        <v>1930.5000000000002</v>
      </c>
      <c r="O57" s="19">
        <f t="shared" ref="O57:O66" si="31">N57/0.7</f>
        <v>2757.8571428571436</v>
      </c>
      <c r="P57" s="25">
        <f t="shared" ref="P57:P66" si="32">L57+O57</f>
        <v>33122.21428571429</v>
      </c>
      <c r="Q57" s="23"/>
      <c r="S57" s="18" t="s">
        <v>18</v>
      </c>
      <c r="T57" s="19">
        <f t="shared" si="27"/>
        <v>30508.357142857145</v>
      </c>
      <c r="U57" s="27">
        <v>1430</v>
      </c>
      <c r="V57" s="19">
        <f t="shared" ref="V57:V66" si="33">U57*1.35</f>
        <v>1930.5000000000002</v>
      </c>
      <c r="W57" s="19">
        <f t="shared" ref="W57:W66" si="34">V57/0.7</f>
        <v>2757.8571428571436</v>
      </c>
      <c r="X57" s="25">
        <f t="shared" ref="X57:X66" si="35">T57+W57</f>
        <v>33266.21428571429</v>
      </c>
      <c r="Y57" s="29"/>
    </row>
    <row r="58" spans="2:25" x14ac:dyDescent="0.3">
      <c r="B58" s="11">
        <v>3</v>
      </c>
      <c r="C58" s="54"/>
      <c r="D58" s="55"/>
      <c r="E58" s="15" t="s">
        <v>26</v>
      </c>
      <c r="F58" s="49">
        <f t="shared" si="28"/>
        <v>36561.857142857145</v>
      </c>
      <c r="G58" s="49"/>
      <c r="H58" s="49">
        <f t="shared" si="29"/>
        <v>36781.857142857145</v>
      </c>
      <c r="I58" s="50"/>
      <c r="K58" s="18" t="s">
        <v>7</v>
      </c>
      <c r="L58" s="19">
        <f t="shared" si="26"/>
        <v>33804</v>
      </c>
      <c r="M58" s="27">
        <v>1430</v>
      </c>
      <c r="N58" s="19">
        <f t="shared" si="30"/>
        <v>1930.5000000000002</v>
      </c>
      <c r="O58" s="19">
        <f t="shared" si="31"/>
        <v>2757.8571428571436</v>
      </c>
      <c r="P58" s="25">
        <f t="shared" si="32"/>
        <v>36561.857142857145</v>
      </c>
      <c r="Q58" s="23"/>
      <c r="S58" s="18" t="s">
        <v>7</v>
      </c>
      <c r="T58" s="19">
        <f t="shared" si="27"/>
        <v>34024</v>
      </c>
      <c r="U58" s="27">
        <v>1430</v>
      </c>
      <c r="V58" s="19">
        <f t="shared" si="33"/>
        <v>1930.5000000000002</v>
      </c>
      <c r="W58" s="19">
        <f t="shared" si="34"/>
        <v>2757.8571428571436</v>
      </c>
      <c r="X58" s="25">
        <f t="shared" si="35"/>
        <v>36781.857142857145</v>
      </c>
      <c r="Y58" s="29"/>
    </row>
    <row r="59" spans="2:25" x14ac:dyDescent="0.3">
      <c r="B59" s="11">
        <v>4</v>
      </c>
      <c r="C59" s="54"/>
      <c r="D59" s="55"/>
      <c r="E59" s="15" t="s">
        <v>27</v>
      </c>
      <c r="F59" s="49">
        <f t="shared" si="28"/>
        <v>41664.257142857146</v>
      </c>
      <c r="G59" s="49"/>
      <c r="H59" s="49">
        <f t="shared" si="29"/>
        <v>41873.857142857145</v>
      </c>
      <c r="I59" s="50"/>
      <c r="K59" s="18" t="s">
        <v>8</v>
      </c>
      <c r="L59" s="19">
        <f t="shared" si="26"/>
        <v>38906.400000000001</v>
      </c>
      <c r="M59" s="27">
        <v>1430</v>
      </c>
      <c r="N59" s="19">
        <f t="shared" si="30"/>
        <v>1930.5000000000002</v>
      </c>
      <c r="O59" s="19">
        <f t="shared" si="31"/>
        <v>2757.8571428571436</v>
      </c>
      <c r="P59" s="25">
        <f t="shared" si="32"/>
        <v>41664.257142857146</v>
      </c>
      <c r="Q59" s="23"/>
      <c r="S59" s="18" t="s">
        <v>8</v>
      </c>
      <c r="T59" s="19">
        <f t="shared" si="27"/>
        <v>39116</v>
      </c>
      <c r="U59" s="27">
        <v>1430</v>
      </c>
      <c r="V59" s="19">
        <f t="shared" si="33"/>
        <v>1930.5000000000002</v>
      </c>
      <c r="W59" s="19">
        <f t="shared" si="34"/>
        <v>2757.8571428571436</v>
      </c>
      <c r="X59" s="25">
        <f t="shared" si="35"/>
        <v>41873.857142857145</v>
      </c>
      <c r="Y59" s="29"/>
    </row>
    <row r="60" spans="2:25" x14ac:dyDescent="0.3">
      <c r="B60" s="11">
        <v>5</v>
      </c>
      <c r="C60" s="54"/>
      <c r="D60" s="55"/>
      <c r="E60" s="15" t="s">
        <v>28</v>
      </c>
      <c r="F60" s="49">
        <f t="shared" si="28"/>
        <v>50664.657142857148</v>
      </c>
      <c r="G60" s="49"/>
      <c r="H60" s="49">
        <f t="shared" si="29"/>
        <v>51058.257142857146</v>
      </c>
      <c r="I60" s="50"/>
      <c r="K60" s="18" t="s">
        <v>9</v>
      </c>
      <c r="L60" s="19">
        <f t="shared" si="26"/>
        <v>47906.8</v>
      </c>
      <c r="M60" s="27">
        <v>1430</v>
      </c>
      <c r="N60" s="19">
        <f t="shared" si="30"/>
        <v>1930.5000000000002</v>
      </c>
      <c r="O60" s="19">
        <f t="shared" si="31"/>
        <v>2757.8571428571436</v>
      </c>
      <c r="P60" s="25">
        <f t="shared" si="32"/>
        <v>50664.657142857148</v>
      </c>
      <c r="Q60" s="23"/>
      <c r="S60" s="18" t="s">
        <v>9</v>
      </c>
      <c r="T60" s="19">
        <f t="shared" si="27"/>
        <v>48300.4</v>
      </c>
      <c r="U60" s="27">
        <v>1430</v>
      </c>
      <c r="V60" s="19">
        <f t="shared" si="33"/>
        <v>1930.5000000000002</v>
      </c>
      <c r="W60" s="19">
        <f t="shared" si="34"/>
        <v>2757.8571428571436</v>
      </c>
      <c r="X60" s="25">
        <f t="shared" si="35"/>
        <v>51058.257142857146</v>
      </c>
      <c r="Y60" s="29"/>
    </row>
    <row r="61" spans="2:25" x14ac:dyDescent="0.3">
      <c r="B61" s="11">
        <v>6</v>
      </c>
      <c r="C61" s="54"/>
      <c r="D61" s="55"/>
      <c r="E61" s="15" t="s">
        <v>29</v>
      </c>
      <c r="F61" s="49">
        <f t="shared" si="28"/>
        <v>56859.257142857146</v>
      </c>
      <c r="G61" s="49"/>
      <c r="H61" s="49">
        <f t="shared" si="29"/>
        <v>57408.057142857142</v>
      </c>
      <c r="I61" s="50"/>
      <c r="K61" s="18" t="s">
        <v>10</v>
      </c>
      <c r="L61" s="19">
        <f t="shared" si="26"/>
        <v>54101.4</v>
      </c>
      <c r="M61" s="27">
        <v>1430</v>
      </c>
      <c r="N61" s="19">
        <f t="shared" si="30"/>
        <v>1930.5000000000002</v>
      </c>
      <c r="O61" s="19">
        <f t="shared" si="31"/>
        <v>2757.8571428571436</v>
      </c>
      <c r="P61" s="25">
        <f t="shared" si="32"/>
        <v>56859.257142857146</v>
      </c>
      <c r="Q61" s="23"/>
      <c r="S61" s="18" t="s">
        <v>10</v>
      </c>
      <c r="T61" s="19">
        <f t="shared" si="27"/>
        <v>54650.2</v>
      </c>
      <c r="U61" s="27">
        <v>1430</v>
      </c>
      <c r="V61" s="19">
        <f t="shared" si="33"/>
        <v>1930.5000000000002</v>
      </c>
      <c r="W61" s="19">
        <f t="shared" si="34"/>
        <v>2757.8571428571436</v>
      </c>
      <c r="X61" s="25">
        <f t="shared" si="35"/>
        <v>57408.057142857142</v>
      </c>
      <c r="Y61" s="29"/>
    </row>
    <row r="62" spans="2:25" x14ac:dyDescent="0.3">
      <c r="B62" s="11">
        <v>7</v>
      </c>
      <c r="C62" s="54"/>
      <c r="D62" s="55"/>
      <c r="E62" s="15" t="s">
        <v>30</v>
      </c>
      <c r="F62" s="49">
        <f t="shared" si="28"/>
        <v>85589.971428571444</v>
      </c>
      <c r="G62" s="49"/>
      <c r="H62" s="49">
        <f t="shared" si="29"/>
        <v>86437.171428571441</v>
      </c>
      <c r="I62" s="50"/>
      <c r="K62" s="18" t="s">
        <v>19</v>
      </c>
      <c r="L62" s="19">
        <f t="shared" si="26"/>
        <v>82832.114285714299</v>
      </c>
      <c r="M62" s="27">
        <v>1430</v>
      </c>
      <c r="N62" s="19">
        <f t="shared" si="30"/>
        <v>1930.5000000000002</v>
      </c>
      <c r="O62" s="19">
        <f t="shared" si="31"/>
        <v>2757.8571428571436</v>
      </c>
      <c r="P62" s="25">
        <f t="shared" si="32"/>
        <v>85589.971428571444</v>
      </c>
      <c r="Q62" s="23"/>
      <c r="S62" s="18" t="s">
        <v>19</v>
      </c>
      <c r="T62" s="19">
        <f t="shared" si="27"/>
        <v>83679.314285714296</v>
      </c>
      <c r="U62" s="27">
        <v>1430</v>
      </c>
      <c r="V62" s="19">
        <f t="shared" si="33"/>
        <v>1930.5000000000002</v>
      </c>
      <c r="W62" s="19">
        <f t="shared" si="34"/>
        <v>2757.8571428571436</v>
      </c>
      <c r="X62" s="25">
        <f t="shared" si="35"/>
        <v>86437.171428571441</v>
      </c>
      <c r="Y62" s="29"/>
    </row>
    <row r="63" spans="2:25" x14ac:dyDescent="0.3">
      <c r="B63" s="11">
        <v>8</v>
      </c>
      <c r="C63" s="54"/>
      <c r="D63" s="55"/>
      <c r="E63" s="15" t="s">
        <v>31</v>
      </c>
      <c r="F63" s="49">
        <f t="shared" si="28"/>
        <v>93669.571428571435</v>
      </c>
      <c r="G63" s="49"/>
      <c r="H63" s="49">
        <f t="shared" si="29"/>
        <v>94567.171428571441</v>
      </c>
      <c r="I63" s="50"/>
      <c r="K63" s="18" t="s">
        <v>11</v>
      </c>
      <c r="L63" s="19">
        <f t="shared" si="26"/>
        <v>90911.71428571429</v>
      </c>
      <c r="M63" s="27">
        <v>1430</v>
      </c>
      <c r="N63" s="19">
        <f t="shared" si="30"/>
        <v>1930.5000000000002</v>
      </c>
      <c r="O63" s="19">
        <f t="shared" si="31"/>
        <v>2757.8571428571436</v>
      </c>
      <c r="P63" s="25">
        <f t="shared" si="32"/>
        <v>93669.571428571435</v>
      </c>
      <c r="Q63" s="23"/>
      <c r="S63" s="18" t="s">
        <v>11</v>
      </c>
      <c r="T63" s="19">
        <f t="shared" si="27"/>
        <v>91809.314285714296</v>
      </c>
      <c r="U63" s="27">
        <v>1430</v>
      </c>
      <c r="V63" s="19">
        <f t="shared" si="33"/>
        <v>1930.5000000000002</v>
      </c>
      <c r="W63" s="19">
        <f t="shared" si="34"/>
        <v>2757.8571428571436</v>
      </c>
      <c r="X63" s="25">
        <f t="shared" si="35"/>
        <v>94567.171428571441</v>
      </c>
      <c r="Y63" s="29"/>
    </row>
    <row r="64" spans="2:25" x14ac:dyDescent="0.3">
      <c r="B64" s="11">
        <v>9</v>
      </c>
      <c r="C64" s="54"/>
      <c r="D64" s="55"/>
      <c r="E64" s="15" t="s">
        <v>32</v>
      </c>
      <c r="F64" s="49">
        <f t="shared" si="28"/>
        <v>127398.95714285715</v>
      </c>
      <c r="G64" s="49"/>
      <c r="H64" s="49">
        <f t="shared" si="29"/>
        <v>129166.15714285716</v>
      </c>
      <c r="I64" s="50"/>
      <c r="K64" s="18" t="s">
        <v>15</v>
      </c>
      <c r="L64" s="19">
        <f t="shared" si="26"/>
        <v>124641.1</v>
      </c>
      <c r="M64" s="27">
        <v>1430</v>
      </c>
      <c r="N64" s="19">
        <f t="shared" si="30"/>
        <v>1930.5000000000002</v>
      </c>
      <c r="O64" s="19">
        <f t="shared" si="31"/>
        <v>2757.8571428571436</v>
      </c>
      <c r="P64" s="25">
        <f t="shared" si="32"/>
        <v>127398.95714285715</v>
      </c>
      <c r="Q64" s="23"/>
      <c r="S64" s="18" t="s">
        <v>15</v>
      </c>
      <c r="T64" s="19">
        <f t="shared" si="27"/>
        <v>126408.30000000002</v>
      </c>
      <c r="U64" s="27">
        <v>1430</v>
      </c>
      <c r="V64" s="19">
        <f t="shared" si="33"/>
        <v>1930.5000000000002</v>
      </c>
      <c r="W64" s="19">
        <f t="shared" si="34"/>
        <v>2757.8571428571436</v>
      </c>
      <c r="X64" s="25">
        <f t="shared" si="35"/>
        <v>129166.15714285716</v>
      </c>
      <c r="Y64" s="29"/>
    </row>
    <row r="65" spans="2:25" x14ac:dyDescent="0.3">
      <c r="B65" s="11">
        <v>10</v>
      </c>
      <c r="C65" s="54"/>
      <c r="D65" s="55"/>
      <c r="E65" s="15" t="s">
        <v>33</v>
      </c>
      <c r="F65" s="49">
        <f t="shared" si="28"/>
        <v>173130.67142857143</v>
      </c>
      <c r="G65" s="49"/>
      <c r="H65" s="49">
        <f t="shared" si="29"/>
        <v>175342.67142857143</v>
      </c>
      <c r="I65" s="50"/>
      <c r="K65" s="18" t="s">
        <v>16</v>
      </c>
      <c r="L65" s="19">
        <f t="shared" si="26"/>
        <v>170372.8142857143</v>
      </c>
      <c r="M65" s="27">
        <v>1430</v>
      </c>
      <c r="N65" s="19">
        <f t="shared" si="30"/>
        <v>1930.5000000000002</v>
      </c>
      <c r="O65" s="19">
        <f t="shared" si="31"/>
        <v>2757.8571428571436</v>
      </c>
      <c r="P65" s="25">
        <f t="shared" si="32"/>
        <v>173130.67142857143</v>
      </c>
      <c r="Q65" s="23"/>
      <c r="S65" s="18" t="s">
        <v>16</v>
      </c>
      <c r="T65" s="19">
        <f t="shared" si="27"/>
        <v>172584.8142857143</v>
      </c>
      <c r="U65" s="27">
        <v>1430</v>
      </c>
      <c r="V65" s="19">
        <f t="shared" si="33"/>
        <v>1930.5000000000002</v>
      </c>
      <c r="W65" s="19">
        <f t="shared" si="34"/>
        <v>2757.8571428571436</v>
      </c>
      <c r="X65" s="25">
        <f t="shared" si="35"/>
        <v>175342.67142857143</v>
      </c>
      <c r="Y65" s="29"/>
    </row>
    <row r="66" spans="2:25" x14ac:dyDescent="0.3">
      <c r="B66" s="11">
        <v>11</v>
      </c>
      <c r="C66" s="54"/>
      <c r="D66" s="55"/>
      <c r="E66" s="15" t="s">
        <v>34</v>
      </c>
      <c r="F66" s="49">
        <f t="shared" si="28"/>
        <v>210012.55714285714</v>
      </c>
      <c r="G66" s="49"/>
      <c r="H66" s="49">
        <f t="shared" si="29"/>
        <v>212666.95714285717</v>
      </c>
      <c r="I66" s="50"/>
      <c r="K66" s="18" t="s">
        <v>17</v>
      </c>
      <c r="L66" s="19">
        <f t="shared" si="26"/>
        <v>207254.7</v>
      </c>
      <c r="M66" s="27">
        <v>1430</v>
      </c>
      <c r="N66" s="19">
        <f t="shared" si="30"/>
        <v>1930.5000000000002</v>
      </c>
      <c r="O66" s="19">
        <f t="shared" si="31"/>
        <v>2757.8571428571436</v>
      </c>
      <c r="P66" s="25">
        <f t="shared" si="32"/>
        <v>210012.55714285714</v>
      </c>
      <c r="Q66" s="23"/>
      <c r="S66" s="18" t="s">
        <v>17</v>
      </c>
      <c r="T66" s="19">
        <f t="shared" si="27"/>
        <v>209909.10000000003</v>
      </c>
      <c r="U66" s="27">
        <v>1430</v>
      </c>
      <c r="V66" s="19">
        <f t="shared" si="33"/>
        <v>1930.5000000000002</v>
      </c>
      <c r="W66" s="19">
        <f t="shared" si="34"/>
        <v>2757.8571428571436</v>
      </c>
      <c r="X66" s="25">
        <f t="shared" si="35"/>
        <v>212666.95714285717</v>
      </c>
      <c r="Y66" s="29"/>
    </row>
    <row r="67" spans="2:25" x14ac:dyDescent="0.3">
      <c r="B67" s="46" t="s">
        <v>105</v>
      </c>
      <c r="C67" s="47"/>
      <c r="D67" s="47"/>
      <c r="E67" s="47"/>
      <c r="F67" s="47"/>
      <c r="G67" s="47"/>
      <c r="H67" s="47"/>
      <c r="I67" s="48"/>
      <c r="K67" s="40"/>
      <c r="L67" s="41"/>
      <c r="M67" s="42"/>
      <c r="N67" s="41"/>
      <c r="O67" s="41"/>
      <c r="P67" s="43"/>
      <c r="Q67" s="23"/>
      <c r="S67" s="40"/>
      <c r="T67" s="41"/>
      <c r="U67" s="42"/>
      <c r="V67" s="41"/>
      <c r="W67" s="41"/>
      <c r="X67" s="43"/>
      <c r="Y67" s="29"/>
    </row>
    <row r="68" spans="2:25" ht="18.75" x14ac:dyDescent="0.3">
      <c r="B68" s="51" t="s">
        <v>3</v>
      </c>
      <c r="C68" s="45" t="s">
        <v>4</v>
      </c>
      <c r="D68" s="45" t="s">
        <v>5</v>
      </c>
      <c r="E68" s="45" t="s">
        <v>6</v>
      </c>
      <c r="F68" s="52" t="s">
        <v>98</v>
      </c>
      <c r="G68" s="52"/>
      <c r="H68" s="52"/>
      <c r="I68" s="53"/>
      <c r="K68" s="56" t="s">
        <v>42</v>
      </c>
      <c r="L68" s="57"/>
      <c r="M68" s="57"/>
      <c r="N68" s="57"/>
      <c r="O68" s="57"/>
      <c r="P68" s="58"/>
      <c r="Q68"/>
      <c r="S68" s="56" t="s">
        <v>42</v>
      </c>
      <c r="T68" s="57"/>
      <c r="U68" s="57"/>
      <c r="V68" s="57"/>
      <c r="W68" s="57"/>
      <c r="X68" s="58"/>
      <c r="Y68" s="29"/>
    </row>
    <row r="69" spans="2:25" ht="18.75" x14ac:dyDescent="0.3">
      <c r="B69" s="51"/>
      <c r="C69" s="45"/>
      <c r="D69" s="45"/>
      <c r="E69" s="45"/>
      <c r="F69" s="52" t="s">
        <v>12</v>
      </c>
      <c r="G69" s="52"/>
      <c r="H69" s="52" t="s">
        <v>13</v>
      </c>
      <c r="I69" s="53"/>
      <c r="K69" s="18" t="s">
        <v>47</v>
      </c>
      <c r="L69" s="18" t="s">
        <v>76</v>
      </c>
      <c r="M69" s="18" t="s">
        <v>73</v>
      </c>
      <c r="N69" s="18" t="s">
        <v>100</v>
      </c>
      <c r="O69" s="27" t="s">
        <v>69</v>
      </c>
      <c r="P69" s="28" t="s">
        <v>70</v>
      </c>
      <c r="Q69" s="23"/>
      <c r="S69" s="18" t="s">
        <v>47</v>
      </c>
      <c r="T69" s="18" t="s">
        <v>77</v>
      </c>
      <c r="U69" s="18" t="s">
        <v>73</v>
      </c>
      <c r="V69" s="18" t="s">
        <v>100</v>
      </c>
      <c r="W69" s="27" t="s">
        <v>69</v>
      </c>
      <c r="X69" s="28" t="s">
        <v>70</v>
      </c>
      <c r="Y69" s="29"/>
    </row>
    <row r="70" spans="2:25" x14ac:dyDescent="0.3">
      <c r="B70" s="11">
        <v>1</v>
      </c>
      <c r="C70" s="54" t="s">
        <v>115</v>
      </c>
      <c r="D70" s="55"/>
      <c r="E70" s="15" t="s">
        <v>24</v>
      </c>
      <c r="F70" s="49">
        <f>P70</f>
        <v>35239.114285714291</v>
      </c>
      <c r="G70" s="49"/>
      <c r="H70" s="49">
        <f>X70</f>
        <v>35308.71428571429</v>
      </c>
      <c r="I70" s="50"/>
      <c r="K70" s="18" t="s">
        <v>14</v>
      </c>
      <c r="L70" s="19">
        <f t="shared" ref="L70:L80" si="36">Q43</f>
        <v>32481.257142857146</v>
      </c>
      <c r="M70" s="27">
        <v>1430</v>
      </c>
      <c r="N70" s="19">
        <f>M70*1.35</f>
        <v>1930.5000000000002</v>
      </c>
      <c r="O70" s="19">
        <f>N70/0.7</f>
        <v>2757.8571428571436</v>
      </c>
      <c r="P70" s="25">
        <f>L70+O70</f>
        <v>35239.114285714291</v>
      </c>
      <c r="Q70" s="23"/>
      <c r="S70" s="18" t="s">
        <v>14</v>
      </c>
      <c r="T70" s="19">
        <f t="shared" ref="T70:T80" si="37">Y43</f>
        <v>32550.857142857145</v>
      </c>
      <c r="U70" s="27">
        <v>1430</v>
      </c>
      <c r="V70" s="19">
        <f>U70*1.35</f>
        <v>1930.5000000000002</v>
      </c>
      <c r="W70" s="19">
        <f>V70/0.7</f>
        <v>2757.8571428571436</v>
      </c>
      <c r="X70" s="25">
        <f>T70+W70</f>
        <v>35308.71428571429</v>
      </c>
      <c r="Y70" s="29"/>
    </row>
    <row r="71" spans="2:25" x14ac:dyDescent="0.3">
      <c r="B71" s="11">
        <v>2</v>
      </c>
      <c r="C71" s="54"/>
      <c r="D71" s="55"/>
      <c r="E71" s="15" t="s">
        <v>25</v>
      </c>
      <c r="F71" s="49">
        <f t="shared" ref="F71:F80" si="38">P71</f>
        <v>39393.92857142858</v>
      </c>
      <c r="G71" s="49"/>
      <c r="H71" s="49">
        <f t="shared" ref="H71:H80" si="39">X71</f>
        <v>39537.92857142858</v>
      </c>
      <c r="I71" s="50"/>
      <c r="K71" s="18" t="s">
        <v>18</v>
      </c>
      <c r="L71" s="19">
        <f t="shared" si="36"/>
        <v>36636.071428571435</v>
      </c>
      <c r="M71" s="27">
        <v>1430</v>
      </c>
      <c r="N71" s="19">
        <f t="shared" ref="N71:N80" si="40">M71*1.35</f>
        <v>1930.5000000000002</v>
      </c>
      <c r="O71" s="19">
        <f t="shared" ref="O71:O80" si="41">N71/0.7</f>
        <v>2757.8571428571436</v>
      </c>
      <c r="P71" s="25">
        <f t="shared" ref="P71:P80" si="42">L71+O71</f>
        <v>39393.92857142858</v>
      </c>
      <c r="Q71" s="23"/>
      <c r="S71" s="18" t="s">
        <v>18</v>
      </c>
      <c r="T71" s="19">
        <f t="shared" si="37"/>
        <v>36780.071428571435</v>
      </c>
      <c r="U71" s="27">
        <v>1430</v>
      </c>
      <c r="V71" s="19">
        <f t="shared" ref="V71:V80" si="43">U71*1.35</f>
        <v>1930.5000000000002</v>
      </c>
      <c r="W71" s="19">
        <f t="shared" ref="W71:W80" si="44">V71/0.7</f>
        <v>2757.8571428571436</v>
      </c>
      <c r="X71" s="25">
        <f t="shared" ref="X71:X80" si="45">T71+W71</f>
        <v>39537.92857142858</v>
      </c>
      <c r="Y71" s="29"/>
    </row>
    <row r="72" spans="2:25" x14ac:dyDescent="0.3">
      <c r="B72" s="11">
        <v>3</v>
      </c>
      <c r="C72" s="54"/>
      <c r="D72" s="55"/>
      <c r="E72" s="15" t="s">
        <v>26</v>
      </c>
      <c r="F72" s="49">
        <f t="shared" si="38"/>
        <v>45373.5</v>
      </c>
      <c r="G72" s="49"/>
      <c r="H72" s="49">
        <f t="shared" si="39"/>
        <v>45593.5</v>
      </c>
      <c r="I72" s="50"/>
      <c r="K72" s="18" t="s">
        <v>7</v>
      </c>
      <c r="L72" s="19">
        <f t="shared" si="36"/>
        <v>42615.642857142855</v>
      </c>
      <c r="M72" s="27">
        <v>1430</v>
      </c>
      <c r="N72" s="19">
        <f t="shared" si="40"/>
        <v>1930.5000000000002</v>
      </c>
      <c r="O72" s="19">
        <f t="shared" si="41"/>
        <v>2757.8571428571436</v>
      </c>
      <c r="P72" s="25">
        <f t="shared" si="42"/>
        <v>45373.5</v>
      </c>
      <c r="Q72" s="23"/>
      <c r="S72" s="18" t="s">
        <v>7</v>
      </c>
      <c r="T72" s="19">
        <f t="shared" si="37"/>
        <v>42835.642857142855</v>
      </c>
      <c r="U72" s="27">
        <v>1430</v>
      </c>
      <c r="V72" s="19">
        <f t="shared" si="43"/>
        <v>1930.5000000000002</v>
      </c>
      <c r="W72" s="19">
        <f t="shared" si="44"/>
        <v>2757.8571428571436</v>
      </c>
      <c r="X72" s="25">
        <f t="shared" si="45"/>
        <v>45593.5</v>
      </c>
      <c r="Y72" s="29"/>
    </row>
    <row r="73" spans="2:25" x14ac:dyDescent="0.3">
      <c r="B73" s="11">
        <v>4</v>
      </c>
      <c r="C73" s="54"/>
      <c r="D73" s="55"/>
      <c r="E73" s="15" t="s">
        <v>27</v>
      </c>
      <c r="F73" s="49">
        <f t="shared" si="38"/>
        <v>55885.542857142864</v>
      </c>
      <c r="G73" s="49"/>
      <c r="H73" s="49">
        <f t="shared" si="39"/>
        <v>56095.142857142862</v>
      </c>
      <c r="I73" s="50"/>
      <c r="K73" s="18" t="s">
        <v>8</v>
      </c>
      <c r="L73" s="19">
        <f t="shared" si="36"/>
        <v>53127.685714285719</v>
      </c>
      <c r="M73" s="27">
        <v>1430</v>
      </c>
      <c r="N73" s="19">
        <f t="shared" si="40"/>
        <v>1930.5000000000002</v>
      </c>
      <c r="O73" s="19">
        <f t="shared" si="41"/>
        <v>2757.8571428571436</v>
      </c>
      <c r="P73" s="25">
        <f t="shared" si="42"/>
        <v>55885.542857142864</v>
      </c>
      <c r="Q73" s="23"/>
      <c r="S73" s="18" t="s">
        <v>8</v>
      </c>
      <c r="T73" s="19">
        <f t="shared" si="37"/>
        <v>53337.285714285717</v>
      </c>
      <c r="U73" s="27">
        <v>1430</v>
      </c>
      <c r="V73" s="19">
        <f t="shared" si="43"/>
        <v>1930.5000000000002</v>
      </c>
      <c r="W73" s="19">
        <f t="shared" si="44"/>
        <v>2757.8571428571436</v>
      </c>
      <c r="X73" s="25">
        <f t="shared" si="45"/>
        <v>56095.142857142862</v>
      </c>
      <c r="Y73" s="29"/>
    </row>
    <row r="74" spans="2:25" x14ac:dyDescent="0.3">
      <c r="B74" s="11">
        <v>5</v>
      </c>
      <c r="C74" s="54"/>
      <c r="D74" s="55"/>
      <c r="E74" s="15" t="s">
        <v>28</v>
      </c>
      <c r="F74" s="49">
        <f t="shared" si="38"/>
        <v>59944.942857142858</v>
      </c>
      <c r="G74" s="49"/>
      <c r="H74" s="49">
        <f t="shared" si="39"/>
        <v>60338.542857142864</v>
      </c>
      <c r="I74" s="50"/>
      <c r="K74" s="18" t="s">
        <v>9</v>
      </c>
      <c r="L74" s="19">
        <f t="shared" si="36"/>
        <v>57187.085714285713</v>
      </c>
      <c r="M74" s="27">
        <v>1430</v>
      </c>
      <c r="N74" s="19">
        <f t="shared" si="40"/>
        <v>1930.5000000000002</v>
      </c>
      <c r="O74" s="19">
        <f t="shared" si="41"/>
        <v>2757.8571428571436</v>
      </c>
      <c r="P74" s="25">
        <f t="shared" si="42"/>
        <v>59944.942857142858</v>
      </c>
      <c r="Q74" s="23"/>
      <c r="S74" s="18" t="s">
        <v>9</v>
      </c>
      <c r="T74" s="19">
        <f t="shared" si="37"/>
        <v>57580.685714285719</v>
      </c>
      <c r="U74" s="27">
        <v>1430</v>
      </c>
      <c r="V74" s="19">
        <f t="shared" si="43"/>
        <v>1930.5000000000002</v>
      </c>
      <c r="W74" s="19">
        <f t="shared" si="44"/>
        <v>2757.8571428571436</v>
      </c>
      <c r="X74" s="25">
        <f t="shared" si="45"/>
        <v>60338.542857142864</v>
      </c>
      <c r="Y74" s="29"/>
    </row>
    <row r="75" spans="2:25" x14ac:dyDescent="0.3">
      <c r="B75" s="11">
        <v>6</v>
      </c>
      <c r="C75" s="54"/>
      <c r="D75" s="55"/>
      <c r="E75" s="15" t="s">
        <v>29</v>
      </c>
      <c r="F75" s="49">
        <f t="shared" si="38"/>
        <v>82630.757142857154</v>
      </c>
      <c r="G75" s="49"/>
      <c r="H75" s="49">
        <f t="shared" si="39"/>
        <v>83179.557142857157</v>
      </c>
      <c r="I75" s="50"/>
      <c r="K75" s="18" t="s">
        <v>10</v>
      </c>
      <c r="L75" s="19">
        <f t="shared" si="36"/>
        <v>79872.900000000009</v>
      </c>
      <c r="M75" s="27">
        <v>1430</v>
      </c>
      <c r="N75" s="19">
        <f t="shared" si="40"/>
        <v>1930.5000000000002</v>
      </c>
      <c r="O75" s="19">
        <f t="shared" si="41"/>
        <v>2757.8571428571436</v>
      </c>
      <c r="P75" s="25">
        <f t="shared" si="42"/>
        <v>82630.757142857154</v>
      </c>
      <c r="Q75" s="23"/>
      <c r="S75" s="18" t="s">
        <v>10</v>
      </c>
      <c r="T75" s="19">
        <f t="shared" si="37"/>
        <v>80421.700000000012</v>
      </c>
      <c r="U75" s="27">
        <v>1430</v>
      </c>
      <c r="V75" s="19">
        <f t="shared" si="43"/>
        <v>1930.5000000000002</v>
      </c>
      <c r="W75" s="19">
        <f t="shared" si="44"/>
        <v>2757.8571428571436</v>
      </c>
      <c r="X75" s="25">
        <f t="shared" si="45"/>
        <v>83179.557142857157</v>
      </c>
      <c r="Y75" s="29"/>
    </row>
    <row r="76" spans="2:25" x14ac:dyDescent="0.3">
      <c r="B76" s="11">
        <v>7</v>
      </c>
      <c r="C76" s="54"/>
      <c r="D76" s="55"/>
      <c r="E76" s="15" t="s">
        <v>30</v>
      </c>
      <c r="F76" s="49">
        <f t="shared" si="38"/>
        <v>113407.68571428575</v>
      </c>
      <c r="G76" s="49"/>
      <c r="H76" s="49">
        <f t="shared" si="39"/>
        <v>114254.88571428575</v>
      </c>
      <c r="I76" s="50"/>
      <c r="K76" s="18" t="s">
        <v>19</v>
      </c>
      <c r="L76" s="19">
        <f t="shared" si="36"/>
        <v>110649.8285714286</v>
      </c>
      <c r="M76" s="27">
        <v>1430</v>
      </c>
      <c r="N76" s="19">
        <f t="shared" si="40"/>
        <v>1930.5000000000002</v>
      </c>
      <c r="O76" s="19">
        <f t="shared" si="41"/>
        <v>2757.8571428571436</v>
      </c>
      <c r="P76" s="25">
        <f t="shared" si="42"/>
        <v>113407.68571428575</v>
      </c>
      <c r="Q76" s="23"/>
      <c r="S76" s="18" t="s">
        <v>19</v>
      </c>
      <c r="T76" s="19">
        <f t="shared" si="37"/>
        <v>111497.0285714286</v>
      </c>
      <c r="U76" s="27">
        <v>1430</v>
      </c>
      <c r="V76" s="19">
        <f t="shared" si="43"/>
        <v>1930.5000000000002</v>
      </c>
      <c r="W76" s="19">
        <f t="shared" si="44"/>
        <v>2757.8571428571436</v>
      </c>
      <c r="X76" s="25">
        <f t="shared" si="45"/>
        <v>114254.88571428575</v>
      </c>
      <c r="Y76" s="29"/>
    </row>
    <row r="77" spans="2:25" x14ac:dyDescent="0.3">
      <c r="B77" s="11">
        <v>8</v>
      </c>
      <c r="C77" s="54"/>
      <c r="D77" s="55"/>
      <c r="E77" s="15" t="s">
        <v>31</v>
      </c>
      <c r="F77" s="49">
        <f t="shared" si="38"/>
        <v>121487.28571428572</v>
      </c>
      <c r="G77" s="49"/>
      <c r="H77" s="49">
        <f t="shared" si="39"/>
        <v>122384.88571428575</v>
      </c>
      <c r="I77" s="50"/>
      <c r="K77" s="18" t="s">
        <v>11</v>
      </c>
      <c r="L77" s="19">
        <f t="shared" si="36"/>
        <v>118729.42857142858</v>
      </c>
      <c r="M77" s="27">
        <v>1430</v>
      </c>
      <c r="N77" s="19">
        <f t="shared" si="40"/>
        <v>1930.5000000000002</v>
      </c>
      <c r="O77" s="19">
        <f t="shared" si="41"/>
        <v>2757.8571428571436</v>
      </c>
      <c r="P77" s="25">
        <f t="shared" si="42"/>
        <v>121487.28571428572</v>
      </c>
      <c r="Q77" s="23"/>
      <c r="S77" s="18" t="s">
        <v>11</v>
      </c>
      <c r="T77" s="19">
        <f t="shared" si="37"/>
        <v>119627.0285714286</v>
      </c>
      <c r="U77" s="27">
        <v>1430</v>
      </c>
      <c r="V77" s="19">
        <f t="shared" si="43"/>
        <v>1930.5000000000002</v>
      </c>
      <c r="W77" s="19">
        <f t="shared" si="44"/>
        <v>2757.8571428571436</v>
      </c>
      <c r="X77" s="25">
        <f t="shared" si="45"/>
        <v>122384.88571428575</v>
      </c>
      <c r="Y77" s="29"/>
    </row>
    <row r="78" spans="2:25" x14ac:dyDescent="0.3">
      <c r="B78" s="11">
        <v>9</v>
      </c>
      <c r="C78" s="54"/>
      <c r="D78" s="55"/>
      <c r="E78" s="15" t="s">
        <v>32</v>
      </c>
      <c r="F78" s="49">
        <f t="shared" si="38"/>
        <v>173634.52857142859</v>
      </c>
      <c r="G78" s="49"/>
      <c r="H78" s="49">
        <f t="shared" si="39"/>
        <v>175401.7285714286</v>
      </c>
      <c r="I78" s="50"/>
      <c r="K78" s="18" t="s">
        <v>15</v>
      </c>
      <c r="L78" s="19">
        <f t="shared" si="36"/>
        <v>170876.67142857146</v>
      </c>
      <c r="M78" s="27">
        <v>1430</v>
      </c>
      <c r="N78" s="19">
        <f t="shared" si="40"/>
        <v>1930.5000000000002</v>
      </c>
      <c r="O78" s="19">
        <f t="shared" si="41"/>
        <v>2757.8571428571436</v>
      </c>
      <c r="P78" s="25">
        <f t="shared" si="42"/>
        <v>173634.52857142859</v>
      </c>
      <c r="Q78" s="23"/>
      <c r="S78" s="18" t="s">
        <v>15</v>
      </c>
      <c r="T78" s="19">
        <f t="shared" si="37"/>
        <v>172643.87142857147</v>
      </c>
      <c r="U78" s="27">
        <v>1430</v>
      </c>
      <c r="V78" s="19">
        <f t="shared" si="43"/>
        <v>1930.5000000000002</v>
      </c>
      <c r="W78" s="19">
        <f t="shared" si="44"/>
        <v>2757.8571428571436</v>
      </c>
      <c r="X78" s="25">
        <f t="shared" si="45"/>
        <v>175401.7285714286</v>
      </c>
      <c r="Y78" s="29"/>
    </row>
    <row r="79" spans="2:25" x14ac:dyDescent="0.3">
      <c r="B79" s="11">
        <v>10</v>
      </c>
      <c r="C79" s="54"/>
      <c r="D79" s="55"/>
      <c r="E79" s="15" t="s">
        <v>33</v>
      </c>
      <c r="F79" s="49">
        <f t="shared" si="38"/>
        <v>226816.3142857143</v>
      </c>
      <c r="G79" s="49"/>
      <c r="H79" s="49">
        <f t="shared" si="39"/>
        <v>229028.31428571432</v>
      </c>
      <c r="I79" s="50"/>
      <c r="K79" s="18" t="s">
        <v>16</v>
      </c>
      <c r="L79" s="19">
        <f t="shared" si="36"/>
        <v>224058.45714285717</v>
      </c>
      <c r="M79" s="27">
        <v>1430</v>
      </c>
      <c r="N79" s="19">
        <f t="shared" si="40"/>
        <v>1930.5000000000002</v>
      </c>
      <c r="O79" s="19">
        <f t="shared" si="41"/>
        <v>2757.8571428571436</v>
      </c>
      <c r="P79" s="25">
        <f t="shared" si="42"/>
        <v>226816.3142857143</v>
      </c>
      <c r="Q79" s="23"/>
      <c r="S79" s="18" t="s">
        <v>16</v>
      </c>
      <c r="T79" s="19">
        <f t="shared" si="37"/>
        <v>226270.45714285719</v>
      </c>
      <c r="U79" s="27">
        <v>1430</v>
      </c>
      <c r="V79" s="19">
        <f t="shared" si="43"/>
        <v>1930.5000000000002</v>
      </c>
      <c r="W79" s="19">
        <f t="shared" si="44"/>
        <v>2757.8571428571436</v>
      </c>
      <c r="X79" s="25">
        <f t="shared" si="45"/>
        <v>229028.31428571432</v>
      </c>
      <c r="Y79" s="29"/>
    </row>
    <row r="80" spans="2:25" x14ac:dyDescent="0.3">
      <c r="B80" s="11">
        <v>11</v>
      </c>
      <c r="C80" s="54"/>
      <c r="D80" s="55"/>
      <c r="E80" s="15" t="s">
        <v>34</v>
      </c>
      <c r="F80" s="49">
        <f t="shared" si="38"/>
        <v>368828.48571428575</v>
      </c>
      <c r="G80" s="49"/>
      <c r="H80" s="49">
        <f t="shared" si="39"/>
        <v>371482.88571428577</v>
      </c>
      <c r="I80" s="50"/>
      <c r="K80" s="18" t="s">
        <v>17</v>
      </c>
      <c r="L80" s="19">
        <f t="shared" si="36"/>
        <v>366070.62857142859</v>
      </c>
      <c r="M80" s="27">
        <v>1430</v>
      </c>
      <c r="N80" s="19">
        <f t="shared" si="40"/>
        <v>1930.5000000000002</v>
      </c>
      <c r="O80" s="19">
        <f t="shared" si="41"/>
        <v>2757.8571428571436</v>
      </c>
      <c r="P80" s="25">
        <f t="shared" si="42"/>
        <v>368828.48571428575</v>
      </c>
      <c r="Q80" s="23"/>
      <c r="S80" s="18" t="s">
        <v>17</v>
      </c>
      <c r="T80" s="19">
        <f t="shared" si="37"/>
        <v>368725.02857142861</v>
      </c>
      <c r="U80" s="27">
        <v>1430</v>
      </c>
      <c r="V80" s="19">
        <f t="shared" si="43"/>
        <v>1930.5000000000002</v>
      </c>
      <c r="W80" s="19">
        <f t="shared" si="44"/>
        <v>2757.8571428571436</v>
      </c>
      <c r="X80" s="25">
        <f t="shared" si="45"/>
        <v>371482.88571428577</v>
      </c>
      <c r="Y80" s="29"/>
    </row>
    <row r="81" spans="2:25" ht="18.75" x14ac:dyDescent="0.3">
      <c r="B81" s="51" t="s">
        <v>3</v>
      </c>
      <c r="C81" s="45" t="s">
        <v>4</v>
      </c>
      <c r="D81" s="45" t="s">
        <v>5</v>
      </c>
      <c r="E81" s="45" t="s">
        <v>6</v>
      </c>
      <c r="F81" s="52" t="s">
        <v>98</v>
      </c>
      <c r="G81" s="52"/>
      <c r="H81" s="52"/>
      <c r="I81" s="53"/>
      <c r="K81" s="56" t="s">
        <v>43</v>
      </c>
      <c r="L81" s="57"/>
      <c r="M81" s="57"/>
      <c r="N81" s="57"/>
      <c r="O81" s="57"/>
      <c r="P81" s="58"/>
      <c r="Q81" s="23"/>
      <c r="S81" s="56" t="s">
        <v>43</v>
      </c>
      <c r="T81" s="57"/>
      <c r="U81" s="57"/>
      <c r="V81" s="57"/>
      <c r="W81" s="57"/>
      <c r="X81" s="58"/>
      <c r="Y81" s="29"/>
    </row>
    <row r="82" spans="2:25" ht="18.75" x14ac:dyDescent="0.3">
      <c r="B82" s="51"/>
      <c r="C82" s="45"/>
      <c r="D82" s="45"/>
      <c r="E82" s="45"/>
      <c r="F82" s="52" t="s">
        <v>12</v>
      </c>
      <c r="G82" s="52"/>
      <c r="H82" s="52" t="s">
        <v>13</v>
      </c>
      <c r="I82" s="53"/>
      <c r="K82" s="18" t="s">
        <v>47</v>
      </c>
      <c r="L82" s="18" t="s">
        <v>80</v>
      </c>
      <c r="M82" s="18" t="s">
        <v>79</v>
      </c>
      <c r="N82" s="18" t="s">
        <v>100</v>
      </c>
      <c r="O82" s="27" t="s">
        <v>69</v>
      </c>
      <c r="P82" s="28" t="s">
        <v>70</v>
      </c>
      <c r="Q82" s="23"/>
      <c r="S82" s="18" t="s">
        <v>47</v>
      </c>
      <c r="T82" s="18" t="s">
        <v>81</v>
      </c>
      <c r="U82" s="18" t="s">
        <v>79</v>
      </c>
      <c r="V82" s="18" t="s">
        <v>100</v>
      </c>
      <c r="W82" s="27" t="s">
        <v>69</v>
      </c>
      <c r="X82" s="28" t="s">
        <v>70</v>
      </c>
      <c r="Y82" s="29"/>
    </row>
    <row r="83" spans="2:25" x14ac:dyDescent="0.3">
      <c r="B83" s="11">
        <v>1</v>
      </c>
      <c r="C83" s="54" t="s">
        <v>116</v>
      </c>
      <c r="D83" s="55"/>
      <c r="E83" s="15" t="s">
        <v>24</v>
      </c>
      <c r="F83" s="49">
        <f>P83</f>
        <v>34760.828571428574</v>
      </c>
      <c r="G83" s="49"/>
      <c r="H83" s="49">
        <f>X83</f>
        <v>34830.428571428572</v>
      </c>
      <c r="I83" s="50"/>
      <c r="K83" s="18" t="s">
        <v>14</v>
      </c>
      <c r="L83" s="19">
        <f t="shared" ref="L83:L93" si="46">P56</f>
        <v>30730.114285714291</v>
      </c>
      <c r="M83" s="27">
        <v>2090</v>
      </c>
      <c r="N83" s="19">
        <f>M83*1.35</f>
        <v>2821.5</v>
      </c>
      <c r="O83" s="19">
        <f>N83/0.7</f>
        <v>4030.7142857142858</v>
      </c>
      <c r="P83" s="25">
        <f>L83+O83</f>
        <v>34760.828571428574</v>
      </c>
      <c r="Q83" s="23"/>
      <c r="S83" s="18" t="s">
        <v>14</v>
      </c>
      <c r="T83" s="19">
        <f t="shared" ref="T83:T93" si="47">X56</f>
        <v>30799.71428571429</v>
      </c>
      <c r="U83" s="27">
        <v>2090</v>
      </c>
      <c r="V83" s="19">
        <f>U83*1.35</f>
        <v>2821.5</v>
      </c>
      <c r="W83" s="19">
        <f>V83/0.7</f>
        <v>4030.7142857142858</v>
      </c>
      <c r="X83" s="19">
        <f>T83+W83</f>
        <v>34830.428571428572</v>
      </c>
      <c r="Y83" s="29"/>
    </row>
    <row r="84" spans="2:25" x14ac:dyDescent="0.3">
      <c r="B84" s="11">
        <v>2</v>
      </c>
      <c r="C84" s="54"/>
      <c r="D84" s="55"/>
      <c r="E84" s="15" t="s">
        <v>25</v>
      </c>
      <c r="F84" s="49">
        <f t="shared" ref="F84:F93" si="48">P84</f>
        <v>37152.928571428572</v>
      </c>
      <c r="G84" s="49"/>
      <c r="H84" s="49">
        <f t="shared" ref="H84:H93" si="49">X84</f>
        <v>37296.928571428572</v>
      </c>
      <c r="I84" s="50"/>
      <c r="K84" s="18" t="s">
        <v>18</v>
      </c>
      <c r="L84" s="19">
        <f t="shared" si="46"/>
        <v>33122.21428571429</v>
      </c>
      <c r="M84" s="27">
        <v>2090</v>
      </c>
      <c r="N84" s="19">
        <f t="shared" ref="N84:N93" si="50">M84*1.35</f>
        <v>2821.5</v>
      </c>
      <c r="O84" s="19">
        <f t="shared" ref="O84:O93" si="51">N84/0.7</f>
        <v>4030.7142857142858</v>
      </c>
      <c r="P84" s="25">
        <f t="shared" ref="P84:P93" si="52">L84+O84</f>
        <v>37152.928571428572</v>
      </c>
      <c r="Q84" s="23"/>
      <c r="S84" s="18" t="s">
        <v>18</v>
      </c>
      <c r="T84" s="19">
        <f t="shared" si="47"/>
        <v>33266.21428571429</v>
      </c>
      <c r="U84" s="27">
        <v>2090</v>
      </c>
      <c r="V84" s="19">
        <f t="shared" ref="V84:V93" si="53">U84*1.35</f>
        <v>2821.5</v>
      </c>
      <c r="W84" s="19">
        <f t="shared" ref="W84:W93" si="54">V84/0.7</f>
        <v>4030.7142857142858</v>
      </c>
      <c r="X84" s="19">
        <f t="shared" ref="X84:X93" si="55">T84+W84</f>
        <v>37296.928571428572</v>
      </c>
      <c r="Y84" s="29"/>
    </row>
    <row r="85" spans="2:25" x14ac:dyDescent="0.3">
      <c r="B85" s="11">
        <v>3</v>
      </c>
      <c r="C85" s="54"/>
      <c r="D85" s="55"/>
      <c r="E85" s="15" t="s">
        <v>26</v>
      </c>
      <c r="F85" s="49">
        <f t="shared" si="48"/>
        <v>40592.571428571428</v>
      </c>
      <c r="G85" s="49"/>
      <c r="H85" s="49">
        <f t="shared" si="49"/>
        <v>40812.571428571428</v>
      </c>
      <c r="I85" s="50"/>
      <c r="K85" s="18" t="s">
        <v>7</v>
      </c>
      <c r="L85" s="19">
        <f t="shared" si="46"/>
        <v>36561.857142857145</v>
      </c>
      <c r="M85" s="27">
        <v>2090</v>
      </c>
      <c r="N85" s="19">
        <f t="shared" si="50"/>
        <v>2821.5</v>
      </c>
      <c r="O85" s="19">
        <f t="shared" si="51"/>
        <v>4030.7142857142858</v>
      </c>
      <c r="P85" s="25">
        <f t="shared" si="52"/>
        <v>40592.571428571428</v>
      </c>
      <c r="Q85" s="23"/>
      <c r="S85" s="18" t="s">
        <v>7</v>
      </c>
      <c r="T85" s="19">
        <f t="shared" si="47"/>
        <v>36781.857142857145</v>
      </c>
      <c r="U85" s="27">
        <v>2090</v>
      </c>
      <c r="V85" s="19">
        <f t="shared" si="53"/>
        <v>2821.5</v>
      </c>
      <c r="W85" s="19">
        <f t="shared" si="54"/>
        <v>4030.7142857142858</v>
      </c>
      <c r="X85" s="19">
        <f t="shared" si="55"/>
        <v>40812.571428571428</v>
      </c>
      <c r="Y85" s="29"/>
    </row>
    <row r="86" spans="2:25" x14ac:dyDescent="0.3">
      <c r="B86" s="11">
        <v>4</v>
      </c>
      <c r="C86" s="54"/>
      <c r="D86" s="55"/>
      <c r="E86" s="15" t="s">
        <v>27</v>
      </c>
      <c r="F86" s="49">
        <f t="shared" si="48"/>
        <v>45694.971428571429</v>
      </c>
      <c r="G86" s="49"/>
      <c r="H86" s="49">
        <f t="shared" si="49"/>
        <v>45904.571428571428</v>
      </c>
      <c r="I86" s="50"/>
      <c r="K86" s="18" t="s">
        <v>8</v>
      </c>
      <c r="L86" s="19">
        <f t="shared" si="46"/>
        <v>41664.257142857146</v>
      </c>
      <c r="M86" s="27">
        <v>2090</v>
      </c>
      <c r="N86" s="19">
        <f t="shared" si="50"/>
        <v>2821.5</v>
      </c>
      <c r="O86" s="19">
        <f t="shared" si="51"/>
        <v>4030.7142857142858</v>
      </c>
      <c r="P86" s="25">
        <f t="shared" si="52"/>
        <v>45694.971428571429</v>
      </c>
      <c r="Q86" s="23"/>
      <c r="S86" s="18" t="s">
        <v>8</v>
      </c>
      <c r="T86" s="19">
        <f t="shared" si="47"/>
        <v>41873.857142857145</v>
      </c>
      <c r="U86" s="27">
        <v>2090</v>
      </c>
      <c r="V86" s="19">
        <f t="shared" si="53"/>
        <v>2821.5</v>
      </c>
      <c r="W86" s="19">
        <f t="shared" si="54"/>
        <v>4030.7142857142858</v>
      </c>
      <c r="X86" s="19">
        <f t="shared" si="55"/>
        <v>45904.571428571428</v>
      </c>
      <c r="Y86" s="29"/>
    </row>
    <row r="87" spans="2:25" x14ac:dyDescent="0.3">
      <c r="B87" s="11">
        <v>5</v>
      </c>
      <c r="C87" s="54"/>
      <c r="D87" s="55"/>
      <c r="E87" s="15" t="s">
        <v>28</v>
      </c>
      <c r="F87" s="49">
        <f t="shared" si="48"/>
        <v>54695.37142857143</v>
      </c>
      <c r="G87" s="49"/>
      <c r="H87" s="49">
        <f t="shared" si="49"/>
        <v>55088.971428571429</v>
      </c>
      <c r="I87" s="50"/>
      <c r="K87" s="18" t="s">
        <v>9</v>
      </c>
      <c r="L87" s="19">
        <f t="shared" si="46"/>
        <v>50664.657142857148</v>
      </c>
      <c r="M87" s="27">
        <v>2090</v>
      </c>
      <c r="N87" s="19">
        <f t="shared" si="50"/>
        <v>2821.5</v>
      </c>
      <c r="O87" s="19">
        <f t="shared" si="51"/>
        <v>4030.7142857142858</v>
      </c>
      <c r="P87" s="25">
        <f t="shared" si="52"/>
        <v>54695.37142857143</v>
      </c>
      <c r="Q87" s="23"/>
      <c r="S87" s="18" t="s">
        <v>9</v>
      </c>
      <c r="T87" s="19">
        <f t="shared" si="47"/>
        <v>51058.257142857146</v>
      </c>
      <c r="U87" s="27">
        <v>2090</v>
      </c>
      <c r="V87" s="19">
        <f t="shared" si="53"/>
        <v>2821.5</v>
      </c>
      <c r="W87" s="19">
        <f t="shared" si="54"/>
        <v>4030.7142857142858</v>
      </c>
      <c r="X87" s="19">
        <f t="shared" si="55"/>
        <v>55088.971428571429</v>
      </c>
      <c r="Y87" s="29"/>
    </row>
    <row r="88" spans="2:25" x14ac:dyDescent="0.3">
      <c r="B88" s="11">
        <v>6</v>
      </c>
      <c r="C88" s="54"/>
      <c r="D88" s="55"/>
      <c r="E88" s="15" t="s">
        <v>29</v>
      </c>
      <c r="F88" s="49">
        <f t="shared" si="48"/>
        <v>60889.971428571429</v>
      </c>
      <c r="G88" s="49"/>
      <c r="H88" s="49">
        <f t="shared" si="49"/>
        <v>61438.771428571425</v>
      </c>
      <c r="I88" s="50"/>
      <c r="K88" s="18" t="s">
        <v>10</v>
      </c>
      <c r="L88" s="19">
        <f t="shared" si="46"/>
        <v>56859.257142857146</v>
      </c>
      <c r="M88" s="27">
        <v>2090</v>
      </c>
      <c r="N88" s="19">
        <f t="shared" si="50"/>
        <v>2821.5</v>
      </c>
      <c r="O88" s="19">
        <f t="shared" si="51"/>
        <v>4030.7142857142858</v>
      </c>
      <c r="P88" s="25">
        <f t="shared" si="52"/>
        <v>60889.971428571429</v>
      </c>
      <c r="Q88" s="23"/>
      <c r="S88" s="18" t="s">
        <v>10</v>
      </c>
      <c r="T88" s="19">
        <f t="shared" si="47"/>
        <v>57408.057142857142</v>
      </c>
      <c r="U88" s="27">
        <v>2090</v>
      </c>
      <c r="V88" s="19">
        <f t="shared" si="53"/>
        <v>2821.5</v>
      </c>
      <c r="W88" s="19">
        <f t="shared" si="54"/>
        <v>4030.7142857142858</v>
      </c>
      <c r="X88" s="19">
        <f t="shared" si="55"/>
        <v>61438.771428571425</v>
      </c>
      <c r="Y88" s="29"/>
    </row>
    <row r="89" spans="2:25" x14ac:dyDescent="0.3">
      <c r="B89" s="11">
        <v>7</v>
      </c>
      <c r="C89" s="54"/>
      <c r="D89" s="55"/>
      <c r="E89" s="15" t="s">
        <v>30</v>
      </c>
      <c r="F89" s="49">
        <f t="shared" si="48"/>
        <v>89620.685714285733</v>
      </c>
      <c r="G89" s="49"/>
      <c r="H89" s="49">
        <f t="shared" si="49"/>
        <v>90467.885714285731</v>
      </c>
      <c r="I89" s="50"/>
      <c r="K89" s="18" t="s">
        <v>19</v>
      </c>
      <c r="L89" s="19">
        <f t="shared" si="46"/>
        <v>85589.971428571444</v>
      </c>
      <c r="M89" s="27">
        <v>2090</v>
      </c>
      <c r="N89" s="19">
        <f t="shared" si="50"/>
        <v>2821.5</v>
      </c>
      <c r="O89" s="19">
        <f t="shared" si="51"/>
        <v>4030.7142857142858</v>
      </c>
      <c r="P89" s="25">
        <f t="shared" si="52"/>
        <v>89620.685714285733</v>
      </c>
      <c r="Q89" s="23"/>
      <c r="S89" s="18" t="s">
        <v>19</v>
      </c>
      <c r="T89" s="19">
        <f t="shared" si="47"/>
        <v>86437.171428571441</v>
      </c>
      <c r="U89" s="27">
        <v>2090</v>
      </c>
      <c r="V89" s="19">
        <f t="shared" si="53"/>
        <v>2821.5</v>
      </c>
      <c r="W89" s="19">
        <f t="shared" si="54"/>
        <v>4030.7142857142858</v>
      </c>
      <c r="X89" s="19">
        <f t="shared" si="55"/>
        <v>90467.885714285731</v>
      </c>
      <c r="Y89" s="29"/>
    </row>
    <row r="90" spans="2:25" x14ac:dyDescent="0.3">
      <c r="B90" s="11">
        <v>8</v>
      </c>
      <c r="C90" s="54"/>
      <c r="D90" s="55"/>
      <c r="E90" s="15" t="s">
        <v>31</v>
      </c>
      <c r="F90" s="49">
        <f t="shared" si="48"/>
        <v>97700.285714285725</v>
      </c>
      <c r="G90" s="49"/>
      <c r="H90" s="49">
        <f t="shared" si="49"/>
        <v>98597.885714285731</v>
      </c>
      <c r="I90" s="50"/>
      <c r="K90" s="18" t="s">
        <v>11</v>
      </c>
      <c r="L90" s="19">
        <f t="shared" si="46"/>
        <v>93669.571428571435</v>
      </c>
      <c r="M90" s="27">
        <v>2090</v>
      </c>
      <c r="N90" s="19">
        <f t="shared" si="50"/>
        <v>2821.5</v>
      </c>
      <c r="O90" s="19">
        <f t="shared" si="51"/>
        <v>4030.7142857142858</v>
      </c>
      <c r="P90" s="25">
        <f t="shared" si="52"/>
        <v>97700.285714285725</v>
      </c>
      <c r="Q90" s="23"/>
      <c r="S90" s="18" t="s">
        <v>11</v>
      </c>
      <c r="T90" s="19">
        <f t="shared" si="47"/>
        <v>94567.171428571441</v>
      </c>
      <c r="U90" s="27">
        <v>2090</v>
      </c>
      <c r="V90" s="19">
        <f t="shared" si="53"/>
        <v>2821.5</v>
      </c>
      <c r="W90" s="19">
        <f t="shared" si="54"/>
        <v>4030.7142857142858</v>
      </c>
      <c r="X90" s="19">
        <f t="shared" si="55"/>
        <v>98597.885714285731</v>
      </c>
      <c r="Y90" s="29"/>
    </row>
    <row r="91" spans="2:25" x14ac:dyDescent="0.3">
      <c r="B91" s="11">
        <v>9</v>
      </c>
      <c r="C91" s="54"/>
      <c r="D91" s="55"/>
      <c r="E91" s="15" t="s">
        <v>32</v>
      </c>
      <c r="F91" s="49">
        <f t="shared" si="48"/>
        <v>131429.67142857143</v>
      </c>
      <c r="G91" s="49"/>
      <c r="H91" s="49">
        <f t="shared" si="49"/>
        <v>133196.87142857144</v>
      </c>
      <c r="I91" s="50"/>
      <c r="K91" s="18" t="s">
        <v>15</v>
      </c>
      <c r="L91" s="19">
        <f t="shared" si="46"/>
        <v>127398.95714285715</v>
      </c>
      <c r="M91" s="27">
        <v>2090</v>
      </c>
      <c r="N91" s="19">
        <f t="shared" si="50"/>
        <v>2821.5</v>
      </c>
      <c r="O91" s="19">
        <f t="shared" si="51"/>
        <v>4030.7142857142858</v>
      </c>
      <c r="P91" s="25">
        <f t="shared" si="52"/>
        <v>131429.67142857143</v>
      </c>
      <c r="Q91" s="23"/>
      <c r="S91" s="18" t="s">
        <v>15</v>
      </c>
      <c r="T91" s="19">
        <f t="shared" si="47"/>
        <v>129166.15714285716</v>
      </c>
      <c r="U91" s="27">
        <v>2090</v>
      </c>
      <c r="V91" s="19">
        <f t="shared" si="53"/>
        <v>2821.5</v>
      </c>
      <c r="W91" s="19">
        <f t="shared" si="54"/>
        <v>4030.7142857142858</v>
      </c>
      <c r="X91" s="19">
        <f t="shared" si="55"/>
        <v>133196.87142857144</v>
      </c>
      <c r="Y91" s="29"/>
    </row>
    <row r="92" spans="2:25" x14ac:dyDescent="0.3">
      <c r="B92" s="11">
        <v>10</v>
      </c>
      <c r="C92" s="54"/>
      <c r="D92" s="55"/>
      <c r="E92" s="15" t="s">
        <v>33</v>
      </c>
      <c r="F92" s="49">
        <f t="shared" si="48"/>
        <v>177161.38571428572</v>
      </c>
      <c r="G92" s="49"/>
      <c r="H92" s="49">
        <f t="shared" si="49"/>
        <v>179373.38571428572</v>
      </c>
      <c r="I92" s="50"/>
      <c r="K92" s="18" t="s">
        <v>16</v>
      </c>
      <c r="L92" s="19">
        <f t="shared" si="46"/>
        <v>173130.67142857143</v>
      </c>
      <c r="M92" s="27">
        <v>2090</v>
      </c>
      <c r="N92" s="19">
        <f t="shared" si="50"/>
        <v>2821.5</v>
      </c>
      <c r="O92" s="19">
        <f t="shared" si="51"/>
        <v>4030.7142857142858</v>
      </c>
      <c r="P92" s="25">
        <f t="shared" si="52"/>
        <v>177161.38571428572</v>
      </c>
      <c r="Q92" s="23"/>
      <c r="S92" s="18" t="s">
        <v>16</v>
      </c>
      <c r="T92" s="19">
        <f t="shared" si="47"/>
        <v>175342.67142857143</v>
      </c>
      <c r="U92" s="27">
        <v>2090</v>
      </c>
      <c r="V92" s="19">
        <f t="shared" si="53"/>
        <v>2821.5</v>
      </c>
      <c r="W92" s="19">
        <f t="shared" si="54"/>
        <v>4030.7142857142858</v>
      </c>
      <c r="X92" s="19">
        <f t="shared" si="55"/>
        <v>179373.38571428572</v>
      </c>
      <c r="Y92" s="29"/>
    </row>
    <row r="93" spans="2:25" x14ac:dyDescent="0.3">
      <c r="B93" s="11">
        <v>11</v>
      </c>
      <c r="C93" s="54"/>
      <c r="D93" s="55"/>
      <c r="E93" s="15" t="s">
        <v>34</v>
      </c>
      <c r="F93" s="49">
        <f t="shared" si="48"/>
        <v>214043.27142857143</v>
      </c>
      <c r="G93" s="49"/>
      <c r="H93" s="49">
        <f t="shared" si="49"/>
        <v>216697.67142857146</v>
      </c>
      <c r="I93" s="50"/>
      <c r="K93" s="18" t="s">
        <v>17</v>
      </c>
      <c r="L93" s="19">
        <f t="shared" si="46"/>
        <v>210012.55714285714</v>
      </c>
      <c r="M93" s="27">
        <v>2090</v>
      </c>
      <c r="N93" s="19">
        <f t="shared" si="50"/>
        <v>2821.5</v>
      </c>
      <c r="O93" s="19">
        <f t="shared" si="51"/>
        <v>4030.7142857142858</v>
      </c>
      <c r="P93" s="25">
        <f t="shared" si="52"/>
        <v>214043.27142857143</v>
      </c>
      <c r="Q93" s="23"/>
      <c r="S93" s="18" t="s">
        <v>17</v>
      </c>
      <c r="T93" s="19">
        <f t="shared" si="47"/>
        <v>212666.95714285717</v>
      </c>
      <c r="U93" s="27">
        <v>2090</v>
      </c>
      <c r="V93" s="19">
        <f t="shared" si="53"/>
        <v>2821.5</v>
      </c>
      <c r="W93" s="19">
        <f t="shared" si="54"/>
        <v>4030.7142857142858</v>
      </c>
      <c r="X93" s="19">
        <f t="shared" si="55"/>
        <v>216697.67142857146</v>
      </c>
      <c r="Y93" s="29"/>
    </row>
    <row r="94" spans="2:25" ht="18.75" x14ac:dyDescent="0.3">
      <c r="B94" s="51" t="s">
        <v>3</v>
      </c>
      <c r="C94" s="45" t="s">
        <v>4</v>
      </c>
      <c r="D94" s="45" t="s">
        <v>5</v>
      </c>
      <c r="E94" s="45" t="s">
        <v>6</v>
      </c>
      <c r="F94" s="52" t="s">
        <v>98</v>
      </c>
      <c r="G94" s="52"/>
      <c r="H94" s="52"/>
      <c r="I94" s="53"/>
      <c r="K94" s="56" t="s">
        <v>44</v>
      </c>
      <c r="L94" s="57"/>
      <c r="M94" s="57"/>
      <c r="N94" s="57"/>
      <c r="O94" s="57"/>
      <c r="P94" s="58"/>
      <c r="Q94" s="23"/>
      <c r="S94" s="56" t="s">
        <v>44</v>
      </c>
      <c r="T94" s="57"/>
      <c r="U94" s="57"/>
      <c r="V94" s="57"/>
      <c r="W94" s="57"/>
      <c r="X94" s="58"/>
      <c r="Y94" s="29"/>
    </row>
    <row r="95" spans="2:25" ht="18.75" x14ac:dyDescent="0.3">
      <c r="B95" s="51"/>
      <c r="C95" s="45"/>
      <c r="D95" s="45"/>
      <c r="E95" s="45"/>
      <c r="F95" s="52" t="s">
        <v>12</v>
      </c>
      <c r="G95" s="52"/>
      <c r="H95" s="52" t="s">
        <v>13</v>
      </c>
      <c r="I95" s="53"/>
      <c r="K95" s="18" t="s">
        <v>47</v>
      </c>
      <c r="L95" s="18" t="s">
        <v>78</v>
      </c>
      <c r="M95" s="18" t="s">
        <v>79</v>
      </c>
      <c r="N95" s="18" t="s">
        <v>100</v>
      </c>
      <c r="O95" s="27" t="s">
        <v>69</v>
      </c>
      <c r="P95" s="28" t="s">
        <v>70</v>
      </c>
      <c r="Q95" s="23"/>
      <c r="S95" s="18" t="s">
        <v>47</v>
      </c>
      <c r="T95" s="18" t="s">
        <v>82</v>
      </c>
      <c r="U95" s="18" t="s">
        <v>79</v>
      </c>
      <c r="V95" s="18" t="s">
        <v>100</v>
      </c>
      <c r="W95" s="27" t="s">
        <v>69</v>
      </c>
      <c r="X95" s="28" t="s">
        <v>70</v>
      </c>
      <c r="Y95" s="29"/>
    </row>
    <row r="96" spans="2:25" x14ac:dyDescent="0.3">
      <c r="B96" s="11">
        <v>1</v>
      </c>
      <c r="C96" s="54" t="s">
        <v>117</v>
      </c>
      <c r="D96" s="55"/>
      <c r="E96" s="15" t="s">
        <v>24</v>
      </c>
      <c r="F96" s="49">
        <f>P96</f>
        <v>39269.828571428574</v>
      </c>
      <c r="G96" s="49"/>
      <c r="H96" s="49">
        <f>X96</f>
        <v>39339.428571428572</v>
      </c>
      <c r="I96" s="50"/>
      <c r="K96" s="18" t="s">
        <v>14</v>
      </c>
      <c r="L96" s="19">
        <f t="shared" ref="L96:L106" si="56">P70</f>
        <v>35239.114285714291</v>
      </c>
      <c r="M96" s="27">
        <v>2090</v>
      </c>
      <c r="N96" s="19">
        <f>M96*1.35</f>
        <v>2821.5</v>
      </c>
      <c r="O96" s="19">
        <f>N96/0.7</f>
        <v>4030.7142857142858</v>
      </c>
      <c r="P96" s="25">
        <f>L96+O96</f>
        <v>39269.828571428574</v>
      </c>
      <c r="Q96" s="23"/>
      <c r="S96" s="18" t="s">
        <v>14</v>
      </c>
      <c r="T96" s="19">
        <f t="shared" ref="T96:T106" si="57">X70</f>
        <v>35308.71428571429</v>
      </c>
      <c r="U96" s="27">
        <v>2090</v>
      </c>
      <c r="V96" s="19">
        <f>U96*1.35</f>
        <v>2821.5</v>
      </c>
      <c r="W96" s="19">
        <f>V96/0.7</f>
        <v>4030.7142857142858</v>
      </c>
      <c r="X96" s="25">
        <f>T96+W96</f>
        <v>39339.428571428572</v>
      </c>
      <c r="Y96" s="29"/>
    </row>
    <row r="97" spans="2:25" x14ac:dyDescent="0.3">
      <c r="B97" s="11">
        <v>2</v>
      </c>
      <c r="C97" s="54"/>
      <c r="D97" s="55"/>
      <c r="E97" s="15" t="s">
        <v>25</v>
      </c>
      <c r="F97" s="49">
        <f t="shared" ref="F97:F106" si="58">P97</f>
        <v>43424.642857142862</v>
      </c>
      <c r="G97" s="49"/>
      <c r="H97" s="49">
        <f t="shared" ref="H97:H106" si="59">X97</f>
        <v>43568.642857142862</v>
      </c>
      <c r="I97" s="50"/>
      <c r="K97" s="18" t="s">
        <v>18</v>
      </c>
      <c r="L97" s="19">
        <f t="shared" si="56"/>
        <v>39393.92857142858</v>
      </c>
      <c r="M97" s="27">
        <v>2090</v>
      </c>
      <c r="N97" s="19">
        <f t="shared" ref="N97:N106" si="60">M97*1.35</f>
        <v>2821.5</v>
      </c>
      <c r="O97" s="19">
        <f t="shared" ref="O97:O106" si="61">N97/0.7</f>
        <v>4030.7142857142858</v>
      </c>
      <c r="P97" s="25">
        <f t="shared" ref="P97:P106" si="62">L97+O97</f>
        <v>43424.642857142862</v>
      </c>
      <c r="Q97" s="23"/>
      <c r="S97" s="18" t="s">
        <v>18</v>
      </c>
      <c r="T97" s="19">
        <f t="shared" si="57"/>
        <v>39537.92857142858</v>
      </c>
      <c r="U97" s="27">
        <v>2090</v>
      </c>
      <c r="V97" s="19">
        <f t="shared" ref="V97:V106" si="63">U97*1.35</f>
        <v>2821.5</v>
      </c>
      <c r="W97" s="19">
        <f t="shared" ref="W97:W106" si="64">V97/0.7</f>
        <v>4030.7142857142858</v>
      </c>
      <c r="X97" s="25">
        <f t="shared" ref="X97:X106" si="65">T97+W97</f>
        <v>43568.642857142862</v>
      </c>
      <c r="Y97" s="29"/>
    </row>
    <row r="98" spans="2:25" x14ac:dyDescent="0.3">
      <c r="B98" s="11">
        <v>3</v>
      </c>
      <c r="C98" s="54"/>
      <c r="D98" s="55"/>
      <c r="E98" s="15" t="s">
        <v>26</v>
      </c>
      <c r="F98" s="49">
        <f t="shared" si="58"/>
        <v>49404.214285714283</v>
      </c>
      <c r="G98" s="49"/>
      <c r="H98" s="49">
        <f t="shared" si="59"/>
        <v>49624.214285714283</v>
      </c>
      <c r="I98" s="50"/>
      <c r="K98" s="18" t="s">
        <v>7</v>
      </c>
      <c r="L98" s="19">
        <f t="shared" si="56"/>
        <v>45373.5</v>
      </c>
      <c r="M98" s="27">
        <v>2090</v>
      </c>
      <c r="N98" s="19">
        <f t="shared" si="60"/>
        <v>2821.5</v>
      </c>
      <c r="O98" s="19">
        <f t="shared" si="61"/>
        <v>4030.7142857142858</v>
      </c>
      <c r="P98" s="25">
        <f t="shared" si="62"/>
        <v>49404.214285714283</v>
      </c>
      <c r="Q98" s="23"/>
      <c r="S98" s="18" t="s">
        <v>7</v>
      </c>
      <c r="T98" s="19">
        <f t="shared" si="57"/>
        <v>45593.5</v>
      </c>
      <c r="U98" s="27">
        <v>2090</v>
      </c>
      <c r="V98" s="19">
        <f t="shared" si="63"/>
        <v>2821.5</v>
      </c>
      <c r="W98" s="19">
        <f t="shared" si="64"/>
        <v>4030.7142857142858</v>
      </c>
      <c r="X98" s="25">
        <f t="shared" si="65"/>
        <v>49624.214285714283</v>
      </c>
      <c r="Y98" s="29"/>
    </row>
    <row r="99" spans="2:25" x14ac:dyDescent="0.3">
      <c r="B99" s="11">
        <v>4</v>
      </c>
      <c r="C99" s="54"/>
      <c r="D99" s="55"/>
      <c r="E99" s="15" t="s">
        <v>27</v>
      </c>
      <c r="F99" s="49">
        <f t="shared" si="58"/>
        <v>59916.257142857146</v>
      </c>
      <c r="G99" s="49"/>
      <c r="H99" s="49">
        <f t="shared" si="59"/>
        <v>60125.857142857145</v>
      </c>
      <c r="I99" s="50"/>
      <c r="K99" s="18" t="s">
        <v>8</v>
      </c>
      <c r="L99" s="19">
        <f t="shared" si="56"/>
        <v>55885.542857142864</v>
      </c>
      <c r="M99" s="27">
        <v>2090</v>
      </c>
      <c r="N99" s="19">
        <f t="shared" si="60"/>
        <v>2821.5</v>
      </c>
      <c r="O99" s="19">
        <f t="shared" si="61"/>
        <v>4030.7142857142858</v>
      </c>
      <c r="P99" s="25">
        <f t="shared" si="62"/>
        <v>59916.257142857146</v>
      </c>
      <c r="Q99" s="23"/>
      <c r="S99" s="18" t="s">
        <v>8</v>
      </c>
      <c r="T99" s="19">
        <f t="shared" si="57"/>
        <v>56095.142857142862</v>
      </c>
      <c r="U99" s="27">
        <v>2090</v>
      </c>
      <c r="V99" s="19">
        <f t="shared" si="63"/>
        <v>2821.5</v>
      </c>
      <c r="W99" s="19">
        <f t="shared" si="64"/>
        <v>4030.7142857142858</v>
      </c>
      <c r="X99" s="25">
        <f t="shared" si="65"/>
        <v>60125.857142857145</v>
      </c>
      <c r="Y99" s="29"/>
    </row>
    <row r="100" spans="2:25" x14ac:dyDescent="0.3">
      <c r="B100" s="11">
        <v>5</v>
      </c>
      <c r="C100" s="54"/>
      <c r="D100" s="55"/>
      <c r="E100" s="15" t="s">
        <v>28</v>
      </c>
      <c r="F100" s="49">
        <f t="shared" si="58"/>
        <v>63975.657142857141</v>
      </c>
      <c r="G100" s="49"/>
      <c r="H100" s="49">
        <f t="shared" si="59"/>
        <v>64369.257142857146</v>
      </c>
      <c r="I100" s="50"/>
      <c r="K100" s="18" t="s">
        <v>9</v>
      </c>
      <c r="L100" s="19">
        <f t="shared" si="56"/>
        <v>59944.942857142858</v>
      </c>
      <c r="M100" s="27">
        <v>2090</v>
      </c>
      <c r="N100" s="19">
        <f t="shared" si="60"/>
        <v>2821.5</v>
      </c>
      <c r="O100" s="19">
        <f t="shared" si="61"/>
        <v>4030.7142857142858</v>
      </c>
      <c r="P100" s="25">
        <f t="shared" si="62"/>
        <v>63975.657142857141</v>
      </c>
      <c r="Q100" s="23"/>
      <c r="S100" s="18" t="s">
        <v>9</v>
      </c>
      <c r="T100" s="19">
        <f t="shared" si="57"/>
        <v>60338.542857142864</v>
      </c>
      <c r="U100" s="27">
        <v>2090</v>
      </c>
      <c r="V100" s="19">
        <f t="shared" si="63"/>
        <v>2821.5</v>
      </c>
      <c r="W100" s="19">
        <f t="shared" si="64"/>
        <v>4030.7142857142858</v>
      </c>
      <c r="X100" s="25">
        <f t="shared" si="65"/>
        <v>64369.257142857146</v>
      </c>
      <c r="Y100" s="29"/>
    </row>
    <row r="101" spans="2:25" x14ac:dyDescent="0.3">
      <c r="B101" s="11">
        <v>6</v>
      </c>
      <c r="C101" s="54"/>
      <c r="D101" s="55"/>
      <c r="E101" s="15" t="s">
        <v>29</v>
      </c>
      <c r="F101" s="49">
        <f t="shared" si="58"/>
        <v>86661.471428571444</v>
      </c>
      <c r="G101" s="49"/>
      <c r="H101" s="49">
        <f t="shared" si="59"/>
        <v>87210.271428571446</v>
      </c>
      <c r="I101" s="50"/>
      <c r="K101" s="18" t="s">
        <v>10</v>
      </c>
      <c r="L101" s="19">
        <f t="shared" si="56"/>
        <v>82630.757142857154</v>
      </c>
      <c r="M101" s="27">
        <v>2090</v>
      </c>
      <c r="N101" s="19">
        <f t="shared" si="60"/>
        <v>2821.5</v>
      </c>
      <c r="O101" s="19">
        <f t="shared" si="61"/>
        <v>4030.7142857142858</v>
      </c>
      <c r="P101" s="25">
        <f t="shared" si="62"/>
        <v>86661.471428571444</v>
      </c>
      <c r="Q101" s="23"/>
      <c r="S101" s="18" t="s">
        <v>10</v>
      </c>
      <c r="T101" s="19">
        <f t="shared" si="57"/>
        <v>83179.557142857157</v>
      </c>
      <c r="U101" s="27">
        <v>2090</v>
      </c>
      <c r="V101" s="19">
        <f t="shared" si="63"/>
        <v>2821.5</v>
      </c>
      <c r="W101" s="19">
        <f t="shared" si="64"/>
        <v>4030.7142857142858</v>
      </c>
      <c r="X101" s="25">
        <f t="shared" si="65"/>
        <v>87210.271428571446</v>
      </c>
      <c r="Y101" s="29"/>
    </row>
    <row r="102" spans="2:25" x14ac:dyDescent="0.3">
      <c r="B102" s="11">
        <v>7</v>
      </c>
      <c r="C102" s="54"/>
      <c r="D102" s="55"/>
      <c r="E102" s="15" t="s">
        <v>30</v>
      </c>
      <c r="F102" s="49">
        <f t="shared" si="58"/>
        <v>117438.40000000004</v>
      </c>
      <c r="G102" s="49"/>
      <c r="H102" s="49">
        <f t="shared" si="59"/>
        <v>118285.60000000003</v>
      </c>
      <c r="I102" s="50"/>
      <c r="K102" s="18" t="s">
        <v>19</v>
      </c>
      <c r="L102" s="19">
        <f t="shared" si="56"/>
        <v>113407.68571428575</v>
      </c>
      <c r="M102" s="27">
        <v>2090</v>
      </c>
      <c r="N102" s="19">
        <f t="shared" si="60"/>
        <v>2821.5</v>
      </c>
      <c r="O102" s="19">
        <f t="shared" si="61"/>
        <v>4030.7142857142858</v>
      </c>
      <c r="P102" s="25">
        <f t="shared" si="62"/>
        <v>117438.40000000004</v>
      </c>
      <c r="Q102" s="23"/>
      <c r="S102" s="18" t="s">
        <v>19</v>
      </c>
      <c r="T102" s="19">
        <f t="shared" si="57"/>
        <v>114254.88571428575</v>
      </c>
      <c r="U102" s="27">
        <v>2090</v>
      </c>
      <c r="V102" s="19">
        <f t="shared" si="63"/>
        <v>2821.5</v>
      </c>
      <c r="W102" s="19">
        <f t="shared" si="64"/>
        <v>4030.7142857142858</v>
      </c>
      <c r="X102" s="25">
        <f t="shared" si="65"/>
        <v>118285.60000000003</v>
      </c>
      <c r="Y102" s="29"/>
    </row>
    <row r="103" spans="2:25" x14ac:dyDescent="0.3">
      <c r="B103" s="11">
        <v>8</v>
      </c>
      <c r="C103" s="54"/>
      <c r="D103" s="55"/>
      <c r="E103" s="15" t="s">
        <v>31</v>
      </c>
      <c r="F103" s="49">
        <f t="shared" si="58"/>
        <v>125518.00000000001</v>
      </c>
      <c r="G103" s="49"/>
      <c r="H103" s="49">
        <f t="shared" si="59"/>
        <v>126415.60000000003</v>
      </c>
      <c r="I103" s="50"/>
      <c r="K103" s="18" t="s">
        <v>11</v>
      </c>
      <c r="L103" s="19">
        <f t="shared" si="56"/>
        <v>121487.28571428572</v>
      </c>
      <c r="M103" s="27">
        <v>2090</v>
      </c>
      <c r="N103" s="19">
        <f t="shared" si="60"/>
        <v>2821.5</v>
      </c>
      <c r="O103" s="19">
        <f t="shared" si="61"/>
        <v>4030.7142857142858</v>
      </c>
      <c r="P103" s="25">
        <f t="shared" si="62"/>
        <v>125518.00000000001</v>
      </c>
      <c r="Q103" s="23"/>
      <c r="S103" s="18" t="s">
        <v>11</v>
      </c>
      <c r="T103" s="19">
        <f t="shared" si="57"/>
        <v>122384.88571428575</v>
      </c>
      <c r="U103" s="27">
        <v>2090</v>
      </c>
      <c r="V103" s="19">
        <f t="shared" si="63"/>
        <v>2821.5</v>
      </c>
      <c r="W103" s="19">
        <f t="shared" si="64"/>
        <v>4030.7142857142858</v>
      </c>
      <c r="X103" s="25">
        <f t="shared" si="65"/>
        <v>126415.60000000003</v>
      </c>
      <c r="Y103" s="29"/>
    </row>
    <row r="104" spans="2:25" x14ac:dyDescent="0.3">
      <c r="B104" s="11">
        <v>9</v>
      </c>
      <c r="C104" s="54"/>
      <c r="D104" s="55"/>
      <c r="E104" s="15" t="s">
        <v>32</v>
      </c>
      <c r="F104" s="49">
        <f t="shared" si="58"/>
        <v>177665.24285714288</v>
      </c>
      <c r="G104" s="49"/>
      <c r="H104" s="49">
        <f t="shared" si="59"/>
        <v>179432.44285714289</v>
      </c>
      <c r="I104" s="50"/>
      <c r="K104" s="18" t="s">
        <v>15</v>
      </c>
      <c r="L104" s="19">
        <f t="shared" si="56"/>
        <v>173634.52857142859</v>
      </c>
      <c r="M104" s="27">
        <v>2090</v>
      </c>
      <c r="N104" s="19">
        <f t="shared" si="60"/>
        <v>2821.5</v>
      </c>
      <c r="O104" s="19">
        <f t="shared" si="61"/>
        <v>4030.7142857142858</v>
      </c>
      <c r="P104" s="25">
        <f t="shared" si="62"/>
        <v>177665.24285714288</v>
      </c>
      <c r="Q104" s="23"/>
      <c r="S104" s="18" t="s">
        <v>15</v>
      </c>
      <c r="T104" s="19">
        <f t="shared" si="57"/>
        <v>175401.7285714286</v>
      </c>
      <c r="U104" s="27">
        <v>2090</v>
      </c>
      <c r="V104" s="19">
        <f t="shared" si="63"/>
        <v>2821.5</v>
      </c>
      <c r="W104" s="19">
        <f t="shared" si="64"/>
        <v>4030.7142857142858</v>
      </c>
      <c r="X104" s="25">
        <f t="shared" si="65"/>
        <v>179432.44285714289</v>
      </c>
      <c r="Y104" s="29"/>
    </row>
    <row r="105" spans="2:25" x14ac:dyDescent="0.3">
      <c r="B105" s="11">
        <v>10</v>
      </c>
      <c r="C105" s="54"/>
      <c r="D105" s="55"/>
      <c r="E105" s="15" t="s">
        <v>33</v>
      </c>
      <c r="F105" s="49">
        <f t="shared" si="58"/>
        <v>230847.02857142859</v>
      </c>
      <c r="G105" s="49"/>
      <c r="H105" s="49">
        <f t="shared" si="59"/>
        <v>233059.02857142861</v>
      </c>
      <c r="I105" s="50"/>
      <c r="K105" s="18" t="s">
        <v>16</v>
      </c>
      <c r="L105" s="19">
        <f t="shared" si="56"/>
        <v>226816.3142857143</v>
      </c>
      <c r="M105" s="27">
        <v>2090</v>
      </c>
      <c r="N105" s="19">
        <f t="shared" si="60"/>
        <v>2821.5</v>
      </c>
      <c r="O105" s="19">
        <f t="shared" si="61"/>
        <v>4030.7142857142858</v>
      </c>
      <c r="P105" s="25">
        <f t="shared" si="62"/>
        <v>230847.02857142859</v>
      </c>
      <c r="Q105" s="23"/>
      <c r="S105" s="18" t="s">
        <v>16</v>
      </c>
      <c r="T105" s="19">
        <f t="shared" si="57"/>
        <v>229028.31428571432</v>
      </c>
      <c r="U105" s="27">
        <v>2090</v>
      </c>
      <c r="V105" s="19">
        <f t="shared" si="63"/>
        <v>2821.5</v>
      </c>
      <c r="W105" s="19">
        <f t="shared" si="64"/>
        <v>4030.7142857142858</v>
      </c>
      <c r="X105" s="25">
        <f t="shared" si="65"/>
        <v>233059.02857142861</v>
      </c>
      <c r="Y105" s="29"/>
    </row>
    <row r="106" spans="2:25" x14ac:dyDescent="0.3">
      <c r="B106" s="11">
        <v>11</v>
      </c>
      <c r="C106" s="54"/>
      <c r="D106" s="55"/>
      <c r="E106" s="15" t="s">
        <v>34</v>
      </c>
      <c r="F106" s="49">
        <f t="shared" si="58"/>
        <v>372859.2</v>
      </c>
      <c r="G106" s="49"/>
      <c r="H106" s="49">
        <f t="shared" si="59"/>
        <v>375513.60000000003</v>
      </c>
      <c r="I106" s="50"/>
      <c r="K106" s="18" t="s">
        <v>17</v>
      </c>
      <c r="L106" s="19">
        <f t="shared" si="56"/>
        <v>368828.48571428575</v>
      </c>
      <c r="M106" s="27">
        <v>2090</v>
      </c>
      <c r="N106" s="19">
        <f t="shared" si="60"/>
        <v>2821.5</v>
      </c>
      <c r="O106" s="19">
        <f t="shared" si="61"/>
        <v>4030.7142857142858</v>
      </c>
      <c r="P106" s="25">
        <f t="shared" si="62"/>
        <v>372859.2</v>
      </c>
      <c r="Q106" s="23"/>
      <c r="S106" s="18" t="s">
        <v>17</v>
      </c>
      <c r="T106" s="19">
        <f t="shared" si="57"/>
        <v>371482.88571428577</v>
      </c>
      <c r="U106" s="27">
        <v>2090</v>
      </c>
      <c r="V106" s="19">
        <f t="shared" si="63"/>
        <v>2821.5</v>
      </c>
      <c r="W106" s="19">
        <f t="shared" si="64"/>
        <v>4030.7142857142858</v>
      </c>
      <c r="X106" s="25">
        <f t="shared" si="65"/>
        <v>375513.60000000003</v>
      </c>
      <c r="Y106" s="29"/>
    </row>
    <row r="107" spans="2:25" ht="18.75" x14ac:dyDescent="0.3">
      <c r="B107" s="51" t="s">
        <v>3</v>
      </c>
      <c r="C107" s="45" t="s">
        <v>4</v>
      </c>
      <c r="D107" s="45" t="s">
        <v>5</v>
      </c>
      <c r="E107" s="45" t="s">
        <v>6</v>
      </c>
      <c r="F107" s="52" t="s">
        <v>98</v>
      </c>
      <c r="G107" s="52"/>
      <c r="H107" s="52"/>
      <c r="I107" s="53"/>
      <c r="K107" s="56" t="s">
        <v>83</v>
      </c>
      <c r="L107" s="57"/>
      <c r="M107" s="57"/>
      <c r="N107" s="57"/>
      <c r="O107" s="57"/>
      <c r="P107" s="58"/>
      <c r="Q107" s="23"/>
      <c r="R107"/>
      <c r="S107" s="56" t="s">
        <v>83</v>
      </c>
      <c r="T107" s="57"/>
      <c r="U107" s="57"/>
      <c r="V107" s="57"/>
      <c r="W107" s="57"/>
      <c r="X107" s="58"/>
      <c r="Y107" s="29"/>
    </row>
    <row r="108" spans="2:25" ht="18.75" x14ac:dyDescent="0.3">
      <c r="B108" s="51"/>
      <c r="C108" s="45"/>
      <c r="D108" s="45"/>
      <c r="E108" s="45"/>
      <c r="F108" s="52" t="s">
        <v>12</v>
      </c>
      <c r="G108" s="52"/>
      <c r="H108" s="52" t="s">
        <v>13</v>
      </c>
      <c r="I108" s="53"/>
      <c r="K108" s="18" t="s">
        <v>47</v>
      </c>
      <c r="L108" s="18" t="s">
        <v>85</v>
      </c>
      <c r="M108" s="18" t="s">
        <v>84</v>
      </c>
      <c r="N108" s="18" t="s">
        <v>100</v>
      </c>
      <c r="O108" s="18" t="s">
        <v>69</v>
      </c>
      <c r="P108" s="28" t="s">
        <v>70</v>
      </c>
      <c r="Q108" s="23"/>
      <c r="R108"/>
      <c r="S108" s="18" t="s">
        <v>47</v>
      </c>
      <c r="T108" s="18" t="s">
        <v>86</v>
      </c>
      <c r="U108" s="18" t="s">
        <v>84</v>
      </c>
      <c r="V108" s="18" t="s">
        <v>100</v>
      </c>
      <c r="W108" s="18" t="s">
        <v>69</v>
      </c>
      <c r="X108" s="28" t="s">
        <v>70</v>
      </c>
      <c r="Y108" s="29"/>
    </row>
    <row r="109" spans="2:25" x14ac:dyDescent="0.3">
      <c r="B109" s="11">
        <v>1</v>
      </c>
      <c r="C109" s="54" t="s">
        <v>118</v>
      </c>
      <c r="D109" s="55"/>
      <c r="E109" s="15" t="s">
        <v>24</v>
      </c>
      <c r="F109" s="49">
        <f>P109</f>
        <v>60757.971428571436</v>
      </c>
      <c r="G109" s="49"/>
      <c r="H109" s="49">
        <f>X109</f>
        <v>60827.571428571435</v>
      </c>
      <c r="I109" s="50"/>
      <c r="K109" s="18" t="s">
        <v>14</v>
      </c>
      <c r="L109" s="19">
        <f t="shared" ref="L109:L119" si="66">Q30</f>
        <v>27972.257142857146</v>
      </c>
      <c r="M109" s="27">
        <v>17000</v>
      </c>
      <c r="N109" s="27">
        <f>M109*1.35</f>
        <v>22950</v>
      </c>
      <c r="O109" s="19">
        <f>N109/0.7</f>
        <v>32785.71428571429</v>
      </c>
      <c r="P109" s="25">
        <f>L109+O109</f>
        <v>60757.971428571436</v>
      </c>
      <c r="Q109" s="23"/>
      <c r="R109" s="23"/>
      <c r="S109" s="18" t="s">
        <v>14</v>
      </c>
      <c r="T109" s="19">
        <f t="shared" ref="T109:T119" si="67">Y30</f>
        <v>28041.857142857145</v>
      </c>
      <c r="U109" s="27">
        <v>17000</v>
      </c>
      <c r="V109" s="27">
        <f>U109*1.35</f>
        <v>22950</v>
      </c>
      <c r="W109" s="19">
        <f>V109/0.7</f>
        <v>32785.71428571429</v>
      </c>
      <c r="X109" s="25">
        <f>T109+W109</f>
        <v>60827.571428571435</v>
      </c>
      <c r="Y109" s="29"/>
    </row>
    <row r="110" spans="2:25" x14ac:dyDescent="0.3">
      <c r="B110" s="11">
        <v>2</v>
      </c>
      <c r="C110" s="54"/>
      <c r="D110" s="55"/>
      <c r="E110" s="15" t="s">
        <v>25</v>
      </c>
      <c r="F110" s="49">
        <f t="shared" ref="F110:F119" si="68">P110</f>
        <v>63150.071428571435</v>
      </c>
      <c r="G110" s="49"/>
      <c r="H110" s="49">
        <f t="shared" ref="H110:H119" si="69">X110</f>
        <v>63294.071428571435</v>
      </c>
      <c r="I110" s="50"/>
      <c r="K110" s="18" t="s">
        <v>18</v>
      </c>
      <c r="L110" s="19">
        <f t="shared" si="66"/>
        <v>30364.357142857145</v>
      </c>
      <c r="M110" s="27">
        <v>17000</v>
      </c>
      <c r="N110" s="27">
        <f t="shared" ref="N110:N119" si="70">M110*1.35</f>
        <v>22950</v>
      </c>
      <c r="O110" s="19">
        <f t="shared" ref="O110:O119" si="71">N110/0.7</f>
        <v>32785.71428571429</v>
      </c>
      <c r="P110" s="25">
        <f t="shared" ref="P110:P119" si="72">L110+O110</f>
        <v>63150.071428571435</v>
      </c>
      <c r="Q110" s="23"/>
      <c r="R110" s="22"/>
      <c r="S110" s="18" t="s">
        <v>18</v>
      </c>
      <c r="T110" s="19">
        <f t="shared" si="67"/>
        <v>30508.357142857145</v>
      </c>
      <c r="U110" s="27">
        <v>17000</v>
      </c>
      <c r="V110" s="27">
        <f t="shared" ref="V110:V119" si="73">U110*1.35</f>
        <v>22950</v>
      </c>
      <c r="W110" s="19">
        <f t="shared" ref="W110:W119" si="74">V110/0.7</f>
        <v>32785.71428571429</v>
      </c>
      <c r="X110" s="25">
        <f t="shared" ref="X110:X119" si="75">T110+W110</f>
        <v>63294.071428571435</v>
      </c>
      <c r="Y110" s="29"/>
    </row>
    <row r="111" spans="2:25" x14ac:dyDescent="0.3">
      <c r="B111" s="11">
        <v>3</v>
      </c>
      <c r="C111" s="54"/>
      <c r="D111" s="55"/>
      <c r="E111" s="15" t="s">
        <v>26</v>
      </c>
      <c r="F111" s="49">
        <f t="shared" si="68"/>
        <v>66589.71428571429</v>
      </c>
      <c r="G111" s="49"/>
      <c r="H111" s="49">
        <f t="shared" si="69"/>
        <v>66809.71428571429</v>
      </c>
      <c r="I111" s="50"/>
      <c r="K111" s="18" t="s">
        <v>7</v>
      </c>
      <c r="L111" s="19">
        <f t="shared" si="66"/>
        <v>33804</v>
      </c>
      <c r="M111" s="27">
        <v>17000</v>
      </c>
      <c r="N111" s="27">
        <f t="shared" si="70"/>
        <v>22950</v>
      </c>
      <c r="O111" s="19">
        <f t="shared" si="71"/>
        <v>32785.71428571429</v>
      </c>
      <c r="P111" s="25">
        <f t="shared" si="72"/>
        <v>66589.71428571429</v>
      </c>
      <c r="Q111" s="23"/>
      <c r="R111" s="22"/>
      <c r="S111" s="18" t="s">
        <v>7</v>
      </c>
      <c r="T111" s="19">
        <f t="shared" si="67"/>
        <v>34024</v>
      </c>
      <c r="U111" s="27">
        <v>17000</v>
      </c>
      <c r="V111" s="27">
        <f t="shared" si="73"/>
        <v>22950</v>
      </c>
      <c r="W111" s="19">
        <f t="shared" si="74"/>
        <v>32785.71428571429</v>
      </c>
      <c r="X111" s="25">
        <f t="shared" si="75"/>
        <v>66809.71428571429</v>
      </c>
      <c r="Y111" s="29"/>
    </row>
    <row r="112" spans="2:25" x14ac:dyDescent="0.3">
      <c r="B112" s="11">
        <v>4</v>
      </c>
      <c r="C112" s="54"/>
      <c r="D112" s="55"/>
      <c r="E112" s="15" t="s">
        <v>27</v>
      </c>
      <c r="F112" s="49">
        <f t="shared" si="68"/>
        <v>71692.114285714284</v>
      </c>
      <c r="G112" s="49"/>
      <c r="H112" s="49">
        <f t="shared" si="69"/>
        <v>71901.71428571429</v>
      </c>
      <c r="I112" s="50"/>
      <c r="K112" s="18" t="s">
        <v>8</v>
      </c>
      <c r="L112" s="19">
        <f t="shared" si="66"/>
        <v>38906.400000000001</v>
      </c>
      <c r="M112" s="27">
        <v>17000</v>
      </c>
      <c r="N112" s="27">
        <f t="shared" si="70"/>
        <v>22950</v>
      </c>
      <c r="O112" s="19">
        <f t="shared" si="71"/>
        <v>32785.71428571429</v>
      </c>
      <c r="P112" s="25">
        <f t="shared" si="72"/>
        <v>71692.114285714284</v>
      </c>
      <c r="Q112" s="23"/>
      <c r="R112" s="22"/>
      <c r="S112" s="18" t="s">
        <v>8</v>
      </c>
      <c r="T112" s="19">
        <f t="shared" si="67"/>
        <v>39116</v>
      </c>
      <c r="U112" s="27">
        <v>17000</v>
      </c>
      <c r="V112" s="27">
        <f t="shared" si="73"/>
        <v>22950</v>
      </c>
      <c r="W112" s="19">
        <f t="shared" si="74"/>
        <v>32785.71428571429</v>
      </c>
      <c r="X112" s="25">
        <f t="shared" si="75"/>
        <v>71901.71428571429</v>
      </c>
      <c r="Y112" s="29"/>
    </row>
    <row r="113" spans="2:25" x14ac:dyDescent="0.3">
      <c r="B113" s="11">
        <v>5</v>
      </c>
      <c r="C113" s="54"/>
      <c r="D113" s="55"/>
      <c r="E113" s="15" t="s">
        <v>28</v>
      </c>
      <c r="F113" s="49">
        <f t="shared" si="68"/>
        <v>80692.514285714293</v>
      </c>
      <c r="G113" s="49"/>
      <c r="H113" s="49">
        <f t="shared" si="69"/>
        <v>81086.114285714284</v>
      </c>
      <c r="I113" s="50"/>
      <c r="K113" s="18" t="s">
        <v>9</v>
      </c>
      <c r="L113" s="19">
        <f t="shared" si="66"/>
        <v>47906.8</v>
      </c>
      <c r="M113" s="27">
        <v>17000</v>
      </c>
      <c r="N113" s="27">
        <f t="shared" si="70"/>
        <v>22950</v>
      </c>
      <c r="O113" s="19">
        <f t="shared" si="71"/>
        <v>32785.71428571429</v>
      </c>
      <c r="P113" s="25">
        <f t="shared" si="72"/>
        <v>80692.514285714293</v>
      </c>
      <c r="Q113" s="23"/>
      <c r="R113" s="22"/>
      <c r="S113" s="18" t="s">
        <v>9</v>
      </c>
      <c r="T113" s="19">
        <f t="shared" si="67"/>
        <v>48300.4</v>
      </c>
      <c r="U113" s="27">
        <v>17000</v>
      </c>
      <c r="V113" s="27">
        <f t="shared" si="73"/>
        <v>22950</v>
      </c>
      <c r="W113" s="19">
        <f t="shared" si="74"/>
        <v>32785.71428571429</v>
      </c>
      <c r="X113" s="25">
        <f t="shared" si="75"/>
        <v>81086.114285714284</v>
      </c>
      <c r="Y113" s="29"/>
    </row>
    <row r="114" spans="2:25" x14ac:dyDescent="0.3">
      <c r="B114" s="11">
        <v>6</v>
      </c>
      <c r="C114" s="54"/>
      <c r="D114" s="55"/>
      <c r="E114" s="15" t="s">
        <v>29</v>
      </c>
      <c r="F114" s="49">
        <f t="shared" si="68"/>
        <v>86887.114285714284</v>
      </c>
      <c r="G114" s="49"/>
      <c r="H114" s="49">
        <f t="shared" si="69"/>
        <v>87435.914285714287</v>
      </c>
      <c r="I114" s="50"/>
      <c r="K114" s="18" t="s">
        <v>10</v>
      </c>
      <c r="L114" s="19">
        <f t="shared" si="66"/>
        <v>54101.4</v>
      </c>
      <c r="M114" s="27">
        <v>17000</v>
      </c>
      <c r="N114" s="27">
        <f t="shared" si="70"/>
        <v>22950</v>
      </c>
      <c r="O114" s="19">
        <f t="shared" si="71"/>
        <v>32785.71428571429</v>
      </c>
      <c r="P114" s="25">
        <f t="shared" si="72"/>
        <v>86887.114285714284</v>
      </c>
      <c r="Q114" s="23"/>
      <c r="R114" s="22"/>
      <c r="S114" s="18" t="s">
        <v>10</v>
      </c>
      <c r="T114" s="19">
        <f t="shared" si="67"/>
        <v>54650.2</v>
      </c>
      <c r="U114" s="27">
        <v>17000</v>
      </c>
      <c r="V114" s="27">
        <f t="shared" si="73"/>
        <v>22950</v>
      </c>
      <c r="W114" s="19">
        <f t="shared" si="74"/>
        <v>32785.71428571429</v>
      </c>
      <c r="X114" s="25">
        <f t="shared" si="75"/>
        <v>87435.914285714287</v>
      </c>
      <c r="Y114" s="29"/>
    </row>
    <row r="115" spans="2:25" x14ac:dyDescent="0.3">
      <c r="B115" s="11">
        <v>7</v>
      </c>
      <c r="C115" s="54"/>
      <c r="D115" s="55"/>
      <c r="E115" s="15" t="s">
        <v>30</v>
      </c>
      <c r="F115" s="49">
        <f t="shared" si="68"/>
        <v>115617.82857142859</v>
      </c>
      <c r="G115" s="49"/>
      <c r="H115" s="49">
        <f t="shared" si="69"/>
        <v>116465.02857142859</v>
      </c>
      <c r="I115" s="50"/>
      <c r="K115" s="18" t="s">
        <v>19</v>
      </c>
      <c r="L115" s="19">
        <f t="shared" si="66"/>
        <v>82832.114285714299</v>
      </c>
      <c r="M115" s="27">
        <v>17000</v>
      </c>
      <c r="N115" s="27">
        <f t="shared" si="70"/>
        <v>22950</v>
      </c>
      <c r="O115" s="19">
        <f t="shared" si="71"/>
        <v>32785.71428571429</v>
      </c>
      <c r="P115" s="25">
        <f t="shared" si="72"/>
        <v>115617.82857142859</v>
      </c>
      <c r="Q115" s="23"/>
      <c r="R115" s="22"/>
      <c r="S115" s="18" t="s">
        <v>19</v>
      </c>
      <c r="T115" s="19">
        <f t="shared" si="67"/>
        <v>83679.314285714296</v>
      </c>
      <c r="U115" s="27">
        <v>17000</v>
      </c>
      <c r="V115" s="27">
        <f t="shared" si="73"/>
        <v>22950</v>
      </c>
      <c r="W115" s="19">
        <f t="shared" si="74"/>
        <v>32785.71428571429</v>
      </c>
      <c r="X115" s="25">
        <f t="shared" si="75"/>
        <v>116465.02857142859</v>
      </c>
      <c r="Y115" s="29"/>
    </row>
    <row r="116" spans="2:25" x14ac:dyDescent="0.3">
      <c r="B116" s="11">
        <v>8</v>
      </c>
      <c r="C116" s="54"/>
      <c r="D116" s="55"/>
      <c r="E116" s="15" t="s">
        <v>31</v>
      </c>
      <c r="F116" s="49">
        <f t="shared" si="68"/>
        <v>123697.42857142858</v>
      </c>
      <c r="G116" s="49"/>
      <c r="H116" s="49">
        <f t="shared" si="69"/>
        <v>124595.02857142859</v>
      </c>
      <c r="I116" s="50"/>
      <c r="K116" s="18" t="s">
        <v>11</v>
      </c>
      <c r="L116" s="19">
        <f t="shared" si="66"/>
        <v>90911.71428571429</v>
      </c>
      <c r="M116" s="27">
        <v>17000</v>
      </c>
      <c r="N116" s="27">
        <f t="shared" si="70"/>
        <v>22950</v>
      </c>
      <c r="O116" s="19">
        <f t="shared" si="71"/>
        <v>32785.71428571429</v>
      </c>
      <c r="P116" s="25">
        <f t="shared" si="72"/>
        <v>123697.42857142858</v>
      </c>
      <c r="Q116" s="23"/>
      <c r="R116" s="22"/>
      <c r="S116" s="18" t="s">
        <v>11</v>
      </c>
      <c r="T116" s="19">
        <f t="shared" si="67"/>
        <v>91809.314285714296</v>
      </c>
      <c r="U116" s="27">
        <v>17000</v>
      </c>
      <c r="V116" s="27">
        <f t="shared" si="73"/>
        <v>22950</v>
      </c>
      <c r="W116" s="19">
        <f t="shared" si="74"/>
        <v>32785.71428571429</v>
      </c>
      <c r="X116" s="25">
        <f t="shared" si="75"/>
        <v>124595.02857142859</v>
      </c>
      <c r="Y116" s="29"/>
    </row>
    <row r="117" spans="2:25" x14ac:dyDescent="0.3">
      <c r="B117" s="11">
        <v>9</v>
      </c>
      <c r="C117" s="54"/>
      <c r="D117" s="55"/>
      <c r="E117" s="15" t="s">
        <v>32</v>
      </c>
      <c r="F117" s="49">
        <f t="shared" si="68"/>
        <v>157426.8142857143</v>
      </c>
      <c r="G117" s="49"/>
      <c r="H117" s="49">
        <f t="shared" si="69"/>
        <v>159194.01428571431</v>
      </c>
      <c r="I117" s="50"/>
      <c r="K117" s="18" t="s">
        <v>15</v>
      </c>
      <c r="L117" s="19">
        <f t="shared" si="66"/>
        <v>124641.1</v>
      </c>
      <c r="M117" s="27">
        <v>17000</v>
      </c>
      <c r="N117" s="27">
        <f t="shared" si="70"/>
        <v>22950</v>
      </c>
      <c r="O117" s="19">
        <f t="shared" si="71"/>
        <v>32785.71428571429</v>
      </c>
      <c r="P117" s="25">
        <f t="shared" si="72"/>
        <v>157426.8142857143</v>
      </c>
      <c r="Q117" s="23"/>
      <c r="R117" s="22"/>
      <c r="S117" s="18" t="s">
        <v>15</v>
      </c>
      <c r="T117" s="19">
        <f t="shared" si="67"/>
        <v>126408.30000000002</v>
      </c>
      <c r="U117" s="27">
        <v>17000</v>
      </c>
      <c r="V117" s="27">
        <f t="shared" si="73"/>
        <v>22950</v>
      </c>
      <c r="W117" s="19">
        <f t="shared" si="74"/>
        <v>32785.71428571429</v>
      </c>
      <c r="X117" s="25">
        <f t="shared" si="75"/>
        <v>159194.01428571431</v>
      </c>
      <c r="Y117" s="29"/>
    </row>
    <row r="118" spans="2:25" x14ac:dyDescent="0.3">
      <c r="B118" s="11">
        <v>10</v>
      </c>
      <c r="C118" s="54"/>
      <c r="D118" s="55"/>
      <c r="E118" s="15" t="s">
        <v>33</v>
      </c>
      <c r="F118" s="49">
        <f t="shared" si="68"/>
        <v>203158.52857142859</v>
      </c>
      <c r="G118" s="49"/>
      <c r="H118" s="49">
        <f t="shared" si="69"/>
        <v>205370.52857142859</v>
      </c>
      <c r="I118" s="50"/>
      <c r="K118" s="18" t="s">
        <v>16</v>
      </c>
      <c r="L118" s="19">
        <f t="shared" si="66"/>
        <v>170372.8142857143</v>
      </c>
      <c r="M118" s="27">
        <v>17000</v>
      </c>
      <c r="N118" s="27">
        <f t="shared" si="70"/>
        <v>22950</v>
      </c>
      <c r="O118" s="19">
        <f t="shared" si="71"/>
        <v>32785.71428571429</v>
      </c>
      <c r="P118" s="25">
        <f t="shared" si="72"/>
        <v>203158.52857142859</v>
      </c>
      <c r="Q118" s="23"/>
      <c r="R118"/>
      <c r="S118" s="18" t="s">
        <v>16</v>
      </c>
      <c r="T118" s="19">
        <f t="shared" si="67"/>
        <v>172584.8142857143</v>
      </c>
      <c r="U118" s="27">
        <v>17000</v>
      </c>
      <c r="V118" s="27">
        <f t="shared" si="73"/>
        <v>22950</v>
      </c>
      <c r="W118" s="19">
        <f t="shared" si="74"/>
        <v>32785.71428571429</v>
      </c>
      <c r="X118" s="25">
        <f t="shared" si="75"/>
        <v>205370.52857142859</v>
      </c>
      <c r="Y118" s="29"/>
    </row>
    <row r="119" spans="2:25" x14ac:dyDescent="0.3">
      <c r="B119" s="11">
        <v>11</v>
      </c>
      <c r="C119" s="54"/>
      <c r="D119" s="55"/>
      <c r="E119" s="15" t="s">
        <v>34</v>
      </c>
      <c r="F119" s="49">
        <f t="shared" si="68"/>
        <v>240040.4142857143</v>
      </c>
      <c r="G119" s="49"/>
      <c r="H119" s="49">
        <f t="shared" si="69"/>
        <v>242694.81428571432</v>
      </c>
      <c r="I119" s="50"/>
      <c r="K119" s="18" t="s">
        <v>17</v>
      </c>
      <c r="L119" s="19">
        <f t="shared" si="66"/>
        <v>207254.7</v>
      </c>
      <c r="M119" s="27">
        <v>17000</v>
      </c>
      <c r="N119" s="27">
        <f t="shared" si="70"/>
        <v>22950</v>
      </c>
      <c r="O119" s="19">
        <f t="shared" si="71"/>
        <v>32785.71428571429</v>
      </c>
      <c r="P119" s="25">
        <f t="shared" si="72"/>
        <v>240040.4142857143</v>
      </c>
      <c r="Q119" s="23"/>
      <c r="R119"/>
      <c r="S119" s="18" t="s">
        <v>17</v>
      </c>
      <c r="T119" s="19">
        <f t="shared" si="67"/>
        <v>209909.10000000003</v>
      </c>
      <c r="U119" s="27">
        <v>17000</v>
      </c>
      <c r="V119" s="27">
        <f t="shared" si="73"/>
        <v>22950</v>
      </c>
      <c r="W119" s="19">
        <f t="shared" si="74"/>
        <v>32785.71428571429</v>
      </c>
      <c r="X119" s="25">
        <f t="shared" si="75"/>
        <v>242694.81428571432</v>
      </c>
      <c r="Y119" s="29"/>
    </row>
    <row r="120" spans="2:25" ht="18.75" x14ac:dyDescent="0.3">
      <c r="B120" s="51" t="s">
        <v>3</v>
      </c>
      <c r="C120" s="45" t="s">
        <v>4</v>
      </c>
      <c r="D120" s="45" t="s">
        <v>5</v>
      </c>
      <c r="E120" s="45" t="s">
        <v>6</v>
      </c>
      <c r="F120" s="52" t="s">
        <v>98</v>
      </c>
      <c r="G120" s="52"/>
      <c r="H120" s="52"/>
      <c r="I120" s="53"/>
      <c r="K120" s="56" t="s">
        <v>67</v>
      </c>
      <c r="L120" s="57"/>
      <c r="M120" s="57"/>
      <c r="N120" s="57"/>
      <c r="O120" s="57"/>
      <c r="P120" s="58"/>
      <c r="Q120" s="23"/>
      <c r="S120" s="56" t="s">
        <v>67</v>
      </c>
      <c r="T120" s="57"/>
      <c r="U120" s="57"/>
      <c r="V120" s="57"/>
      <c r="W120" s="57"/>
      <c r="X120" s="58"/>
      <c r="Y120" s="29"/>
    </row>
    <row r="121" spans="2:25" ht="18.75" x14ac:dyDescent="0.3">
      <c r="B121" s="51"/>
      <c r="C121" s="45"/>
      <c r="D121" s="45"/>
      <c r="E121" s="45"/>
      <c r="F121" s="52" t="s">
        <v>12</v>
      </c>
      <c r="G121" s="52"/>
      <c r="H121" s="52" t="s">
        <v>13</v>
      </c>
      <c r="I121" s="53"/>
      <c r="K121" s="18" t="s">
        <v>47</v>
      </c>
      <c r="L121" s="18" t="s">
        <v>87</v>
      </c>
      <c r="M121" s="18" t="s">
        <v>84</v>
      </c>
      <c r="N121" s="18" t="s">
        <v>100</v>
      </c>
      <c r="O121" s="18" t="s">
        <v>69</v>
      </c>
      <c r="P121" s="28" t="s">
        <v>70</v>
      </c>
      <c r="Q121" s="23"/>
      <c r="S121" s="18" t="s">
        <v>47</v>
      </c>
      <c r="T121" s="18" t="s">
        <v>88</v>
      </c>
      <c r="U121" s="18" t="s">
        <v>84</v>
      </c>
      <c r="V121" s="18" t="s">
        <v>100</v>
      </c>
      <c r="W121" s="18" t="s">
        <v>69</v>
      </c>
      <c r="X121" s="28" t="s">
        <v>70</v>
      </c>
      <c r="Y121" s="29"/>
    </row>
    <row r="122" spans="2:25" x14ac:dyDescent="0.3">
      <c r="B122" s="11">
        <v>1</v>
      </c>
      <c r="C122" s="54" t="s">
        <v>119</v>
      </c>
      <c r="D122" s="55"/>
      <c r="E122" s="15" t="s">
        <v>24</v>
      </c>
      <c r="F122" s="49">
        <f>P122</f>
        <v>65266.971428571436</v>
      </c>
      <c r="G122" s="49"/>
      <c r="H122" s="49">
        <f>X122</f>
        <v>65336.571428571435</v>
      </c>
      <c r="I122" s="50"/>
      <c r="K122" s="18" t="s">
        <v>14</v>
      </c>
      <c r="L122" s="19">
        <f t="shared" ref="L122:L132" si="76">Q43</f>
        <v>32481.257142857146</v>
      </c>
      <c r="M122" s="27">
        <v>17000</v>
      </c>
      <c r="N122" s="19">
        <f>M122*1.35</f>
        <v>22950</v>
      </c>
      <c r="O122" s="19">
        <f>N122/0.7</f>
        <v>32785.71428571429</v>
      </c>
      <c r="P122" s="25">
        <f>L122+O122</f>
        <v>65266.971428571436</v>
      </c>
      <c r="Q122" s="23"/>
      <c r="S122" s="18" t="s">
        <v>14</v>
      </c>
      <c r="T122" s="19">
        <f t="shared" ref="T122:T132" si="77">Y43</f>
        <v>32550.857142857145</v>
      </c>
      <c r="U122" s="27">
        <v>17000</v>
      </c>
      <c r="V122" s="19">
        <f>U122*1.35</f>
        <v>22950</v>
      </c>
      <c r="W122" s="19">
        <f>V122/0.7</f>
        <v>32785.71428571429</v>
      </c>
      <c r="X122" s="25">
        <f>T122+W122</f>
        <v>65336.571428571435</v>
      </c>
      <c r="Y122" s="29"/>
    </row>
    <row r="123" spans="2:25" x14ac:dyDescent="0.3">
      <c r="B123" s="11">
        <v>2</v>
      </c>
      <c r="C123" s="54"/>
      <c r="D123" s="55"/>
      <c r="E123" s="15" t="s">
        <v>25</v>
      </c>
      <c r="F123" s="49">
        <f t="shared" ref="F123:F132" si="78">P123</f>
        <v>69421.785714285725</v>
      </c>
      <c r="G123" s="49"/>
      <c r="H123" s="49">
        <f t="shared" ref="H123:H132" si="79">X123</f>
        <v>69565.785714285725</v>
      </c>
      <c r="I123" s="50"/>
      <c r="K123" s="18" t="s">
        <v>18</v>
      </c>
      <c r="L123" s="19">
        <f t="shared" si="76"/>
        <v>36636.071428571435</v>
      </c>
      <c r="M123" s="27">
        <v>17000</v>
      </c>
      <c r="N123" s="19">
        <f t="shared" ref="N123:N132" si="80">M123*1.35</f>
        <v>22950</v>
      </c>
      <c r="O123" s="19">
        <f t="shared" ref="O123:O132" si="81">N123/0.7</f>
        <v>32785.71428571429</v>
      </c>
      <c r="P123" s="25">
        <f t="shared" ref="P123:P132" si="82">L123+O123</f>
        <v>69421.785714285725</v>
      </c>
      <c r="Q123" s="23"/>
      <c r="S123" s="18" t="s">
        <v>18</v>
      </c>
      <c r="T123" s="19">
        <f t="shared" si="77"/>
        <v>36780.071428571435</v>
      </c>
      <c r="U123" s="27">
        <v>17000</v>
      </c>
      <c r="V123" s="19">
        <f t="shared" ref="V123:V132" si="83">U123*1.35</f>
        <v>22950</v>
      </c>
      <c r="W123" s="19">
        <f t="shared" ref="W123:W132" si="84">V123/0.7</f>
        <v>32785.71428571429</v>
      </c>
      <c r="X123" s="25">
        <f t="shared" ref="X123:X132" si="85">T123+W123</f>
        <v>69565.785714285725</v>
      </c>
      <c r="Y123" s="29"/>
    </row>
    <row r="124" spans="2:25" x14ac:dyDescent="0.3">
      <c r="B124" s="11">
        <v>3</v>
      </c>
      <c r="C124" s="54"/>
      <c r="D124" s="55"/>
      <c r="E124" s="15" t="s">
        <v>26</v>
      </c>
      <c r="F124" s="49">
        <f t="shared" si="78"/>
        <v>75401.357142857145</v>
      </c>
      <c r="G124" s="49"/>
      <c r="H124" s="49">
        <f t="shared" si="79"/>
        <v>75621.357142857145</v>
      </c>
      <c r="I124" s="50"/>
      <c r="K124" s="18" t="s">
        <v>7</v>
      </c>
      <c r="L124" s="19">
        <f t="shared" si="76"/>
        <v>42615.642857142855</v>
      </c>
      <c r="M124" s="27">
        <v>17000</v>
      </c>
      <c r="N124" s="19">
        <f t="shared" si="80"/>
        <v>22950</v>
      </c>
      <c r="O124" s="19">
        <f t="shared" si="81"/>
        <v>32785.71428571429</v>
      </c>
      <c r="P124" s="25">
        <f t="shared" si="82"/>
        <v>75401.357142857145</v>
      </c>
      <c r="Q124" s="23"/>
      <c r="S124" s="18" t="s">
        <v>7</v>
      </c>
      <c r="T124" s="19">
        <f t="shared" si="77"/>
        <v>42835.642857142855</v>
      </c>
      <c r="U124" s="27">
        <v>17000</v>
      </c>
      <c r="V124" s="19">
        <f t="shared" si="83"/>
        <v>22950</v>
      </c>
      <c r="W124" s="19">
        <f t="shared" si="84"/>
        <v>32785.71428571429</v>
      </c>
      <c r="X124" s="25">
        <f t="shared" si="85"/>
        <v>75621.357142857145</v>
      </c>
      <c r="Y124" s="29"/>
    </row>
    <row r="125" spans="2:25" x14ac:dyDescent="0.3">
      <c r="B125" s="11">
        <v>4</v>
      </c>
      <c r="C125" s="54"/>
      <c r="D125" s="55"/>
      <c r="E125" s="15" t="s">
        <v>27</v>
      </c>
      <c r="F125" s="49">
        <f t="shared" si="78"/>
        <v>85913.400000000009</v>
      </c>
      <c r="G125" s="49"/>
      <c r="H125" s="49">
        <f t="shared" si="79"/>
        <v>86123</v>
      </c>
      <c r="I125" s="50"/>
      <c r="K125" s="18" t="s">
        <v>8</v>
      </c>
      <c r="L125" s="19">
        <f t="shared" si="76"/>
        <v>53127.685714285719</v>
      </c>
      <c r="M125" s="27">
        <v>17000</v>
      </c>
      <c r="N125" s="19">
        <f t="shared" si="80"/>
        <v>22950</v>
      </c>
      <c r="O125" s="19">
        <f t="shared" si="81"/>
        <v>32785.71428571429</v>
      </c>
      <c r="P125" s="25">
        <f t="shared" si="82"/>
        <v>85913.400000000009</v>
      </c>
      <c r="Q125" s="23"/>
      <c r="S125" s="18" t="s">
        <v>8</v>
      </c>
      <c r="T125" s="19">
        <f t="shared" si="77"/>
        <v>53337.285714285717</v>
      </c>
      <c r="U125" s="27">
        <v>17000</v>
      </c>
      <c r="V125" s="19">
        <f t="shared" si="83"/>
        <v>22950</v>
      </c>
      <c r="W125" s="19">
        <f t="shared" si="84"/>
        <v>32785.71428571429</v>
      </c>
      <c r="X125" s="25">
        <f t="shared" si="85"/>
        <v>86123</v>
      </c>
      <c r="Y125" s="29"/>
    </row>
    <row r="126" spans="2:25" x14ac:dyDescent="0.3">
      <c r="B126" s="11">
        <v>5</v>
      </c>
      <c r="C126" s="54"/>
      <c r="D126" s="55"/>
      <c r="E126" s="15" t="s">
        <v>28</v>
      </c>
      <c r="F126" s="49">
        <f t="shared" si="78"/>
        <v>89972.800000000003</v>
      </c>
      <c r="G126" s="49"/>
      <c r="H126" s="49">
        <f t="shared" si="79"/>
        <v>90366.400000000009</v>
      </c>
      <c r="I126" s="50"/>
      <c r="K126" s="18" t="s">
        <v>9</v>
      </c>
      <c r="L126" s="19">
        <f t="shared" si="76"/>
        <v>57187.085714285713</v>
      </c>
      <c r="M126" s="27">
        <v>17000</v>
      </c>
      <c r="N126" s="19">
        <f t="shared" si="80"/>
        <v>22950</v>
      </c>
      <c r="O126" s="19">
        <f t="shared" si="81"/>
        <v>32785.71428571429</v>
      </c>
      <c r="P126" s="25">
        <f t="shared" si="82"/>
        <v>89972.800000000003</v>
      </c>
      <c r="Q126" s="23"/>
      <c r="S126" s="18" t="s">
        <v>9</v>
      </c>
      <c r="T126" s="19">
        <f t="shared" si="77"/>
        <v>57580.685714285719</v>
      </c>
      <c r="U126" s="27">
        <v>17000</v>
      </c>
      <c r="V126" s="19">
        <f t="shared" si="83"/>
        <v>22950</v>
      </c>
      <c r="W126" s="19">
        <f t="shared" si="84"/>
        <v>32785.71428571429</v>
      </c>
      <c r="X126" s="25">
        <f t="shared" si="85"/>
        <v>90366.400000000009</v>
      </c>
      <c r="Y126" s="29"/>
    </row>
    <row r="127" spans="2:25" x14ac:dyDescent="0.3">
      <c r="B127" s="11">
        <v>6</v>
      </c>
      <c r="C127" s="54"/>
      <c r="D127" s="55"/>
      <c r="E127" s="15" t="s">
        <v>29</v>
      </c>
      <c r="F127" s="49">
        <f t="shared" si="78"/>
        <v>112658.6142857143</v>
      </c>
      <c r="G127" s="49"/>
      <c r="H127" s="49">
        <f t="shared" si="79"/>
        <v>113207.4142857143</v>
      </c>
      <c r="I127" s="50"/>
      <c r="K127" s="18" t="s">
        <v>10</v>
      </c>
      <c r="L127" s="19">
        <f t="shared" si="76"/>
        <v>79872.900000000009</v>
      </c>
      <c r="M127" s="27">
        <v>17000</v>
      </c>
      <c r="N127" s="19">
        <f t="shared" si="80"/>
        <v>22950</v>
      </c>
      <c r="O127" s="19">
        <f t="shared" si="81"/>
        <v>32785.71428571429</v>
      </c>
      <c r="P127" s="25">
        <f t="shared" si="82"/>
        <v>112658.6142857143</v>
      </c>
      <c r="Q127" s="23"/>
      <c r="S127" s="18" t="s">
        <v>10</v>
      </c>
      <c r="T127" s="19">
        <f t="shared" si="77"/>
        <v>80421.700000000012</v>
      </c>
      <c r="U127" s="27">
        <v>17000</v>
      </c>
      <c r="V127" s="19">
        <f t="shared" si="83"/>
        <v>22950</v>
      </c>
      <c r="W127" s="19">
        <f t="shared" si="84"/>
        <v>32785.71428571429</v>
      </c>
      <c r="X127" s="25">
        <f t="shared" si="85"/>
        <v>113207.4142857143</v>
      </c>
      <c r="Y127" s="29"/>
    </row>
    <row r="128" spans="2:25" x14ac:dyDescent="0.3">
      <c r="B128" s="11">
        <v>7</v>
      </c>
      <c r="C128" s="54"/>
      <c r="D128" s="55"/>
      <c r="E128" s="15" t="s">
        <v>30</v>
      </c>
      <c r="F128" s="49">
        <f t="shared" si="78"/>
        <v>143435.54285714289</v>
      </c>
      <c r="G128" s="49"/>
      <c r="H128" s="49">
        <f t="shared" si="79"/>
        <v>144282.74285714288</v>
      </c>
      <c r="I128" s="50"/>
      <c r="K128" s="18" t="s">
        <v>19</v>
      </c>
      <c r="L128" s="19">
        <f t="shared" si="76"/>
        <v>110649.8285714286</v>
      </c>
      <c r="M128" s="27">
        <v>17000</v>
      </c>
      <c r="N128" s="19">
        <f t="shared" si="80"/>
        <v>22950</v>
      </c>
      <c r="O128" s="19">
        <f t="shared" si="81"/>
        <v>32785.71428571429</v>
      </c>
      <c r="P128" s="25">
        <f t="shared" si="82"/>
        <v>143435.54285714289</v>
      </c>
      <c r="Q128" s="23"/>
      <c r="S128" s="18" t="s">
        <v>19</v>
      </c>
      <c r="T128" s="19">
        <f t="shared" si="77"/>
        <v>111497.0285714286</v>
      </c>
      <c r="U128" s="27">
        <v>17000</v>
      </c>
      <c r="V128" s="19">
        <f t="shared" si="83"/>
        <v>22950</v>
      </c>
      <c r="W128" s="19">
        <f t="shared" si="84"/>
        <v>32785.71428571429</v>
      </c>
      <c r="X128" s="25">
        <f t="shared" si="85"/>
        <v>144282.74285714288</v>
      </c>
      <c r="Y128" s="29"/>
    </row>
    <row r="129" spans="2:25" x14ac:dyDescent="0.3">
      <c r="B129" s="11">
        <v>8</v>
      </c>
      <c r="C129" s="54"/>
      <c r="D129" s="55"/>
      <c r="E129" s="15" t="s">
        <v>31</v>
      </c>
      <c r="F129" s="49">
        <f t="shared" si="78"/>
        <v>151515.14285714287</v>
      </c>
      <c r="G129" s="49"/>
      <c r="H129" s="49">
        <f t="shared" si="79"/>
        <v>152412.74285714288</v>
      </c>
      <c r="I129" s="50"/>
      <c r="K129" s="18" t="s">
        <v>11</v>
      </c>
      <c r="L129" s="19">
        <f t="shared" si="76"/>
        <v>118729.42857142858</v>
      </c>
      <c r="M129" s="27">
        <v>17000</v>
      </c>
      <c r="N129" s="19">
        <f t="shared" si="80"/>
        <v>22950</v>
      </c>
      <c r="O129" s="19">
        <f t="shared" si="81"/>
        <v>32785.71428571429</v>
      </c>
      <c r="P129" s="25">
        <f t="shared" si="82"/>
        <v>151515.14285714287</v>
      </c>
      <c r="Q129" s="23"/>
      <c r="S129" s="18" t="s">
        <v>11</v>
      </c>
      <c r="T129" s="19">
        <f t="shared" si="77"/>
        <v>119627.0285714286</v>
      </c>
      <c r="U129" s="27">
        <v>17000</v>
      </c>
      <c r="V129" s="19">
        <f t="shared" si="83"/>
        <v>22950</v>
      </c>
      <c r="W129" s="19">
        <f t="shared" si="84"/>
        <v>32785.71428571429</v>
      </c>
      <c r="X129" s="25">
        <f t="shared" si="85"/>
        <v>152412.74285714288</v>
      </c>
      <c r="Y129" s="29"/>
    </row>
    <row r="130" spans="2:25" x14ac:dyDescent="0.3">
      <c r="B130" s="11">
        <v>9</v>
      </c>
      <c r="C130" s="54"/>
      <c r="D130" s="55"/>
      <c r="E130" s="15" t="s">
        <v>32</v>
      </c>
      <c r="F130" s="49">
        <f t="shared" si="78"/>
        <v>203662.38571428575</v>
      </c>
      <c r="G130" s="49"/>
      <c r="H130" s="49">
        <f t="shared" si="79"/>
        <v>205429.58571428576</v>
      </c>
      <c r="I130" s="50"/>
      <c r="K130" s="18" t="s">
        <v>15</v>
      </c>
      <c r="L130" s="19">
        <f t="shared" si="76"/>
        <v>170876.67142857146</v>
      </c>
      <c r="M130" s="27">
        <v>17000</v>
      </c>
      <c r="N130" s="19">
        <f t="shared" si="80"/>
        <v>22950</v>
      </c>
      <c r="O130" s="19">
        <f t="shared" si="81"/>
        <v>32785.71428571429</v>
      </c>
      <c r="P130" s="25">
        <f t="shared" si="82"/>
        <v>203662.38571428575</v>
      </c>
      <c r="Q130" s="23"/>
      <c r="S130" s="18" t="s">
        <v>15</v>
      </c>
      <c r="T130" s="19">
        <f t="shared" si="77"/>
        <v>172643.87142857147</v>
      </c>
      <c r="U130" s="27">
        <v>17000</v>
      </c>
      <c r="V130" s="19">
        <f t="shared" si="83"/>
        <v>22950</v>
      </c>
      <c r="W130" s="19">
        <f t="shared" si="84"/>
        <v>32785.71428571429</v>
      </c>
      <c r="X130" s="25">
        <f t="shared" si="85"/>
        <v>205429.58571428576</v>
      </c>
      <c r="Y130" s="29"/>
    </row>
    <row r="131" spans="2:25" x14ac:dyDescent="0.3">
      <c r="B131" s="11">
        <v>10</v>
      </c>
      <c r="C131" s="54"/>
      <c r="D131" s="55"/>
      <c r="E131" s="15" t="s">
        <v>33</v>
      </c>
      <c r="F131" s="49">
        <f t="shared" si="78"/>
        <v>256844.17142857146</v>
      </c>
      <c r="G131" s="49"/>
      <c r="H131" s="49">
        <f t="shared" si="79"/>
        <v>259056.17142857148</v>
      </c>
      <c r="I131" s="50"/>
      <c r="K131" s="18" t="s">
        <v>16</v>
      </c>
      <c r="L131" s="19">
        <f t="shared" si="76"/>
        <v>224058.45714285717</v>
      </c>
      <c r="M131" s="27">
        <v>17000</v>
      </c>
      <c r="N131" s="19">
        <f t="shared" si="80"/>
        <v>22950</v>
      </c>
      <c r="O131" s="19">
        <f t="shared" si="81"/>
        <v>32785.71428571429</v>
      </c>
      <c r="P131" s="25">
        <f t="shared" si="82"/>
        <v>256844.17142857146</v>
      </c>
      <c r="Q131" s="23"/>
      <c r="S131" s="18" t="s">
        <v>16</v>
      </c>
      <c r="T131" s="19">
        <f t="shared" si="77"/>
        <v>226270.45714285719</v>
      </c>
      <c r="U131" s="27">
        <v>17000</v>
      </c>
      <c r="V131" s="19">
        <f t="shared" si="83"/>
        <v>22950</v>
      </c>
      <c r="W131" s="19">
        <f t="shared" si="84"/>
        <v>32785.71428571429</v>
      </c>
      <c r="X131" s="25">
        <f t="shared" si="85"/>
        <v>259056.17142857148</v>
      </c>
      <c r="Y131" s="29"/>
    </row>
    <row r="132" spans="2:25" x14ac:dyDescent="0.3">
      <c r="B132" s="11">
        <v>11</v>
      </c>
      <c r="C132" s="54"/>
      <c r="D132" s="55"/>
      <c r="E132" s="15" t="s">
        <v>34</v>
      </c>
      <c r="F132" s="49">
        <f t="shared" si="78"/>
        <v>398856.34285714291</v>
      </c>
      <c r="G132" s="49"/>
      <c r="H132" s="49">
        <f t="shared" si="79"/>
        <v>401510.74285714293</v>
      </c>
      <c r="I132" s="50"/>
      <c r="K132" s="18" t="s">
        <v>17</v>
      </c>
      <c r="L132" s="19">
        <f t="shared" si="76"/>
        <v>366070.62857142859</v>
      </c>
      <c r="M132" s="27">
        <v>17000</v>
      </c>
      <c r="N132" s="19">
        <f t="shared" si="80"/>
        <v>22950</v>
      </c>
      <c r="O132" s="19">
        <f t="shared" si="81"/>
        <v>32785.71428571429</v>
      </c>
      <c r="P132" s="25">
        <f t="shared" si="82"/>
        <v>398856.34285714291</v>
      </c>
      <c r="Q132" s="23"/>
      <c r="S132" s="18" t="s">
        <v>17</v>
      </c>
      <c r="T132" s="19">
        <f t="shared" si="77"/>
        <v>368725.02857142861</v>
      </c>
      <c r="U132" s="27">
        <v>17000</v>
      </c>
      <c r="V132" s="19">
        <f t="shared" si="83"/>
        <v>22950</v>
      </c>
      <c r="W132" s="19">
        <f t="shared" si="84"/>
        <v>32785.71428571429</v>
      </c>
      <c r="X132" s="25">
        <f t="shared" si="85"/>
        <v>401510.74285714293</v>
      </c>
      <c r="Y132" s="29"/>
    </row>
    <row r="133" spans="2:25" x14ac:dyDescent="0.3">
      <c r="B133" s="46" t="s">
        <v>106</v>
      </c>
      <c r="C133" s="47"/>
      <c r="D133" s="47"/>
      <c r="E133" s="47"/>
      <c r="F133" s="47"/>
      <c r="G133" s="47"/>
      <c r="H133" s="47"/>
      <c r="I133" s="48"/>
      <c r="K133" s="40"/>
      <c r="L133" s="41"/>
      <c r="M133" s="42"/>
      <c r="N133" s="41"/>
      <c r="O133" s="41"/>
      <c r="P133" s="43"/>
      <c r="Q133" s="23"/>
      <c r="S133" s="40"/>
      <c r="T133" s="41"/>
      <c r="U133" s="42"/>
      <c r="V133" s="41"/>
      <c r="W133" s="41"/>
      <c r="X133" s="43"/>
      <c r="Y133" s="29"/>
    </row>
    <row r="134" spans="2:25" ht="18.75" x14ac:dyDescent="0.3">
      <c r="B134" s="51" t="s">
        <v>3</v>
      </c>
      <c r="C134" s="45" t="s">
        <v>4</v>
      </c>
      <c r="D134" s="45" t="s">
        <v>5</v>
      </c>
      <c r="E134" s="45" t="s">
        <v>6</v>
      </c>
      <c r="F134" s="52" t="s">
        <v>98</v>
      </c>
      <c r="G134" s="52"/>
      <c r="H134" s="52"/>
      <c r="I134" s="53"/>
      <c r="K134" s="56" t="s">
        <v>45</v>
      </c>
      <c r="L134" s="57"/>
      <c r="M134" s="57"/>
      <c r="N134" s="57"/>
      <c r="O134" s="57"/>
      <c r="P134" s="58"/>
      <c r="Q134" s="23"/>
      <c r="S134" s="56" t="s">
        <v>45</v>
      </c>
      <c r="T134" s="57"/>
      <c r="U134" s="57"/>
      <c r="V134" s="57"/>
      <c r="W134" s="57"/>
      <c r="X134" s="58"/>
    </row>
    <row r="135" spans="2:25" ht="18.75" x14ac:dyDescent="0.3">
      <c r="B135" s="51"/>
      <c r="C135" s="45"/>
      <c r="D135" s="45"/>
      <c r="E135" s="45"/>
      <c r="F135" s="52" t="s">
        <v>12</v>
      </c>
      <c r="G135" s="52"/>
      <c r="H135" s="52" t="s">
        <v>13</v>
      </c>
      <c r="I135" s="53"/>
      <c r="K135" s="18" t="s">
        <v>47</v>
      </c>
      <c r="L135" s="18" t="s">
        <v>85</v>
      </c>
      <c r="M135" s="18" t="s">
        <v>89</v>
      </c>
      <c r="N135" s="18" t="s">
        <v>100</v>
      </c>
      <c r="O135" s="18" t="s">
        <v>69</v>
      </c>
      <c r="P135" s="28" t="s">
        <v>70</v>
      </c>
      <c r="Q135" s="23"/>
      <c r="S135" s="18" t="s">
        <v>47</v>
      </c>
      <c r="T135" s="18" t="s">
        <v>86</v>
      </c>
      <c r="U135" s="18" t="s">
        <v>89</v>
      </c>
      <c r="V135" s="18" t="s">
        <v>100</v>
      </c>
      <c r="W135" s="18" t="s">
        <v>69</v>
      </c>
      <c r="X135" s="28" t="s">
        <v>70</v>
      </c>
    </row>
    <row r="136" spans="2:25" x14ac:dyDescent="0.3">
      <c r="B136" s="11">
        <v>1</v>
      </c>
      <c r="C136" s="54" t="s">
        <v>120</v>
      </c>
      <c r="D136" s="55"/>
      <c r="E136" s="15" t="s">
        <v>24</v>
      </c>
      <c r="F136" s="49">
        <f>P136</f>
        <v>68472.257142857154</v>
      </c>
      <c r="G136" s="49"/>
      <c r="H136" s="49">
        <f>X136</f>
        <v>68541.857142857159</v>
      </c>
      <c r="I136" s="50"/>
      <c r="K136" s="18" t="s">
        <v>14</v>
      </c>
      <c r="L136" s="19">
        <f t="shared" ref="L136:L146" si="86">Q30</f>
        <v>27972.257142857146</v>
      </c>
      <c r="M136" s="27">
        <v>21000</v>
      </c>
      <c r="N136" s="27">
        <f>M136*1.35</f>
        <v>28350.000000000004</v>
      </c>
      <c r="O136" s="27">
        <f>N136/0.7</f>
        <v>40500.000000000007</v>
      </c>
      <c r="P136" s="25">
        <f>L136+O136</f>
        <v>68472.257142857154</v>
      </c>
      <c r="Q136" s="23"/>
      <c r="S136" s="18" t="s">
        <v>14</v>
      </c>
      <c r="T136" s="19">
        <f t="shared" ref="T136:T146" si="87">Y30</f>
        <v>28041.857142857145</v>
      </c>
      <c r="U136" s="27">
        <v>21000</v>
      </c>
      <c r="V136" s="27">
        <f>U136*1.35</f>
        <v>28350.000000000004</v>
      </c>
      <c r="W136" s="27">
        <f>V136/0.7</f>
        <v>40500.000000000007</v>
      </c>
      <c r="X136" s="25">
        <f>T136+W136</f>
        <v>68541.857142857159</v>
      </c>
    </row>
    <row r="137" spans="2:25" x14ac:dyDescent="0.3">
      <c r="B137" s="11">
        <v>2</v>
      </c>
      <c r="C137" s="54"/>
      <c r="D137" s="55"/>
      <c r="E137" s="15" t="s">
        <v>25</v>
      </c>
      <c r="F137" s="49">
        <f t="shared" ref="F137:F146" si="88">P137</f>
        <v>70864.357142857159</v>
      </c>
      <c r="G137" s="49"/>
      <c r="H137" s="49">
        <f t="shared" ref="H137:H146" si="89">X137</f>
        <v>71008.357142857159</v>
      </c>
      <c r="I137" s="50"/>
      <c r="K137" s="18" t="s">
        <v>18</v>
      </c>
      <c r="L137" s="19">
        <f t="shared" si="86"/>
        <v>30364.357142857145</v>
      </c>
      <c r="M137" s="27">
        <v>21000</v>
      </c>
      <c r="N137" s="27">
        <f t="shared" ref="N137:N146" si="90">M137*1.35</f>
        <v>28350.000000000004</v>
      </c>
      <c r="O137" s="27">
        <f t="shared" ref="O137:O146" si="91">N137/0.7</f>
        <v>40500.000000000007</v>
      </c>
      <c r="P137" s="25">
        <f t="shared" ref="P137:P146" si="92">L137+O137</f>
        <v>70864.357142857159</v>
      </c>
      <c r="Q137" s="23"/>
      <c r="S137" s="18" t="s">
        <v>18</v>
      </c>
      <c r="T137" s="19">
        <f t="shared" si="87"/>
        <v>30508.357142857145</v>
      </c>
      <c r="U137" s="27">
        <v>21000</v>
      </c>
      <c r="V137" s="27">
        <f t="shared" ref="V137:V146" si="93">U137*1.35</f>
        <v>28350.000000000004</v>
      </c>
      <c r="W137" s="27">
        <f t="shared" ref="W137:W146" si="94">V137/0.7</f>
        <v>40500.000000000007</v>
      </c>
      <c r="X137" s="25">
        <f t="shared" ref="X137:X146" si="95">T137+W137</f>
        <v>71008.357142857159</v>
      </c>
    </row>
    <row r="138" spans="2:25" x14ac:dyDescent="0.3">
      <c r="B138" s="11">
        <v>3</v>
      </c>
      <c r="C138" s="54"/>
      <c r="D138" s="55"/>
      <c r="E138" s="15" t="s">
        <v>26</v>
      </c>
      <c r="F138" s="49">
        <f t="shared" si="88"/>
        <v>74304</v>
      </c>
      <c r="G138" s="49"/>
      <c r="H138" s="49">
        <f t="shared" si="89"/>
        <v>74524</v>
      </c>
      <c r="I138" s="50"/>
      <c r="K138" s="18" t="s">
        <v>7</v>
      </c>
      <c r="L138" s="19">
        <f t="shared" si="86"/>
        <v>33804</v>
      </c>
      <c r="M138" s="27">
        <v>21000</v>
      </c>
      <c r="N138" s="27">
        <f t="shared" si="90"/>
        <v>28350.000000000004</v>
      </c>
      <c r="O138" s="27">
        <f t="shared" si="91"/>
        <v>40500.000000000007</v>
      </c>
      <c r="P138" s="25">
        <f t="shared" si="92"/>
        <v>74304</v>
      </c>
      <c r="Q138" s="23"/>
      <c r="S138" s="18" t="s">
        <v>7</v>
      </c>
      <c r="T138" s="19">
        <f t="shared" si="87"/>
        <v>34024</v>
      </c>
      <c r="U138" s="27">
        <v>21000</v>
      </c>
      <c r="V138" s="27">
        <f t="shared" si="93"/>
        <v>28350.000000000004</v>
      </c>
      <c r="W138" s="27">
        <f t="shared" si="94"/>
        <v>40500.000000000007</v>
      </c>
      <c r="X138" s="25">
        <f t="shared" si="95"/>
        <v>74524</v>
      </c>
    </row>
    <row r="139" spans="2:25" x14ac:dyDescent="0.3">
      <c r="B139" s="11">
        <v>4</v>
      </c>
      <c r="C139" s="54"/>
      <c r="D139" s="55"/>
      <c r="E139" s="15" t="s">
        <v>27</v>
      </c>
      <c r="F139" s="49">
        <f t="shared" si="88"/>
        <v>79406.400000000009</v>
      </c>
      <c r="G139" s="49"/>
      <c r="H139" s="49">
        <f t="shared" si="89"/>
        <v>79616</v>
      </c>
      <c r="I139" s="50"/>
      <c r="K139" s="18" t="s">
        <v>8</v>
      </c>
      <c r="L139" s="19">
        <f t="shared" si="86"/>
        <v>38906.400000000001</v>
      </c>
      <c r="M139" s="27">
        <v>21000</v>
      </c>
      <c r="N139" s="27">
        <f t="shared" si="90"/>
        <v>28350.000000000004</v>
      </c>
      <c r="O139" s="27">
        <f t="shared" si="91"/>
        <v>40500.000000000007</v>
      </c>
      <c r="P139" s="25">
        <f t="shared" si="92"/>
        <v>79406.400000000009</v>
      </c>
      <c r="Q139" s="23"/>
      <c r="S139" s="18" t="s">
        <v>8</v>
      </c>
      <c r="T139" s="19">
        <f t="shared" si="87"/>
        <v>39116</v>
      </c>
      <c r="U139" s="27">
        <v>21000</v>
      </c>
      <c r="V139" s="27">
        <f t="shared" si="93"/>
        <v>28350.000000000004</v>
      </c>
      <c r="W139" s="27">
        <f t="shared" si="94"/>
        <v>40500.000000000007</v>
      </c>
      <c r="X139" s="25">
        <f t="shared" si="95"/>
        <v>79616</v>
      </c>
    </row>
    <row r="140" spans="2:25" x14ac:dyDescent="0.3">
      <c r="B140" s="11">
        <v>5</v>
      </c>
      <c r="C140" s="54"/>
      <c r="D140" s="55"/>
      <c r="E140" s="15" t="s">
        <v>28</v>
      </c>
      <c r="F140" s="49">
        <f t="shared" si="88"/>
        <v>88406.800000000017</v>
      </c>
      <c r="G140" s="49"/>
      <c r="H140" s="49">
        <f t="shared" si="89"/>
        <v>88800.400000000009</v>
      </c>
      <c r="I140" s="50"/>
      <c r="K140" s="18" t="s">
        <v>9</v>
      </c>
      <c r="L140" s="19">
        <f t="shared" si="86"/>
        <v>47906.8</v>
      </c>
      <c r="M140" s="27">
        <v>21000</v>
      </c>
      <c r="N140" s="27">
        <f t="shared" si="90"/>
        <v>28350.000000000004</v>
      </c>
      <c r="O140" s="27">
        <f t="shared" si="91"/>
        <v>40500.000000000007</v>
      </c>
      <c r="P140" s="25">
        <f t="shared" si="92"/>
        <v>88406.800000000017</v>
      </c>
      <c r="Q140" s="23"/>
      <c r="S140" s="18" t="s">
        <v>9</v>
      </c>
      <c r="T140" s="19">
        <f t="shared" si="87"/>
        <v>48300.4</v>
      </c>
      <c r="U140" s="27">
        <v>21000</v>
      </c>
      <c r="V140" s="27">
        <f t="shared" si="93"/>
        <v>28350.000000000004</v>
      </c>
      <c r="W140" s="27">
        <f t="shared" si="94"/>
        <v>40500.000000000007</v>
      </c>
      <c r="X140" s="25">
        <f t="shared" si="95"/>
        <v>88800.400000000009</v>
      </c>
    </row>
    <row r="141" spans="2:25" x14ac:dyDescent="0.3">
      <c r="B141" s="11">
        <v>6</v>
      </c>
      <c r="C141" s="54"/>
      <c r="D141" s="55"/>
      <c r="E141" s="15" t="s">
        <v>29</v>
      </c>
      <c r="F141" s="49">
        <f t="shared" si="88"/>
        <v>94601.400000000009</v>
      </c>
      <c r="G141" s="49"/>
      <c r="H141" s="49">
        <f t="shared" si="89"/>
        <v>95150.200000000012</v>
      </c>
      <c r="I141" s="50"/>
      <c r="K141" s="18" t="s">
        <v>10</v>
      </c>
      <c r="L141" s="19">
        <f t="shared" si="86"/>
        <v>54101.4</v>
      </c>
      <c r="M141" s="27">
        <v>21000</v>
      </c>
      <c r="N141" s="27">
        <f t="shared" si="90"/>
        <v>28350.000000000004</v>
      </c>
      <c r="O141" s="27">
        <f t="shared" si="91"/>
        <v>40500.000000000007</v>
      </c>
      <c r="P141" s="25">
        <f t="shared" si="92"/>
        <v>94601.400000000009</v>
      </c>
      <c r="Q141" s="23"/>
      <c r="S141" s="18" t="s">
        <v>10</v>
      </c>
      <c r="T141" s="19">
        <f t="shared" si="87"/>
        <v>54650.2</v>
      </c>
      <c r="U141" s="27">
        <v>21000</v>
      </c>
      <c r="V141" s="27">
        <f t="shared" si="93"/>
        <v>28350.000000000004</v>
      </c>
      <c r="W141" s="27">
        <f t="shared" si="94"/>
        <v>40500.000000000007</v>
      </c>
      <c r="X141" s="25">
        <f t="shared" si="95"/>
        <v>95150.200000000012</v>
      </c>
    </row>
    <row r="142" spans="2:25" x14ac:dyDescent="0.3">
      <c r="B142" s="11">
        <v>7</v>
      </c>
      <c r="C142" s="54"/>
      <c r="D142" s="55"/>
      <c r="E142" s="15" t="s">
        <v>30</v>
      </c>
      <c r="F142" s="49">
        <f t="shared" si="88"/>
        <v>123332.11428571431</v>
      </c>
      <c r="G142" s="49"/>
      <c r="H142" s="49">
        <f t="shared" si="89"/>
        <v>124179.3142857143</v>
      </c>
      <c r="I142" s="50"/>
      <c r="K142" s="18" t="s">
        <v>19</v>
      </c>
      <c r="L142" s="19">
        <f t="shared" si="86"/>
        <v>82832.114285714299</v>
      </c>
      <c r="M142" s="27">
        <v>21000</v>
      </c>
      <c r="N142" s="27">
        <f t="shared" si="90"/>
        <v>28350.000000000004</v>
      </c>
      <c r="O142" s="27">
        <f t="shared" si="91"/>
        <v>40500.000000000007</v>
      </c>
      <c r="P142" s="25">
        <f t="shared" si="92"/>
        <v>123332.11428571431</v>
      </c>
      <c r="Q142" s="23"/>
      <c r="S142" s="18" t="s">
        <v>19</v>
      </c>
      <c r="T142" s="19">
        <f t="shared" si="87"/>
        <v>83679.314285714296</v>
      </c>
      <c r="U142" s="27">
        <v>21000</v>
      </c>
      <c r="V142" s="27">
        <f t="shared" si="93"/>
        <v>28350.000000000004</v>
      </c>
      <c r="W142" s="27">
        <f t="shared" si="94"/>
        <v>40500.000000000007</v>
      </c>
      <c r="X142" s="25">
        <f t="shared" si="95"/>
        <v>124179.3142857143</v>
      </c>
    </row>
    <row r="143" spans="2:25" x14ac:dyDescent="0.3">
      <c r="B143" s="11">
        <v>8</v>
      </c>
      <c r="C143" s="54"/>
      <c r="D143" s="55"/>
      <c r="E143" s="15" t="s">
        <v>31</v>
      </c>
      <c r="F143" s="49">
        <f t="shared" si="88"/>
        <v>131411.71428571429</v>
      </c>
      <c r="G143" s="49"/>
      <c r="H143" s="49">
        <f t="shared" si="89"/>
        <v>132309.3142857143</v>
      </c>
      <c r="I143" s="50"/>
      <c r="K143" s="18" t="s">
        <v>11</v>
      </c>
      <c r="L143" s="19">
        <f t="shared" si="86"/>
        <v>90911.71428571429</v>
      </c>
      <c r="M143" s="27">
        <v>21000</v>
      </c>
      <c r="N143" s="27">
        <f t="shared" si="90"/>
        <v>28350.000000000004</v>
      </c>
      <c r="O143" s="27">
        <f t="shared" si="91"/>
        <v>40500.000000000007</v>
      </c>
      <c r="P143" s="25">
        <f t="shared" si="92"/>
        <v>131411.71428571429</v>
      </c>
      <c r="Q143" s="23"/>
      <c r="S143" s="18" t="s">
        <v>11</v>
      </c>
      <c r="T143" s="19">
        <f t="shared" si="87"/>
        <v>91809.314285714296</v>
      </c>
      <c r="U143" s="27">
        <v>21000</v>
      </c>
      <c r="V143" s="27">
        <f t="shared" si="93"/>
        <v>28350.000000000004</v>
      </c>
      <c r="W143" s="27">
        <f t="shared" si="94"/>
        <v>40500.000000000007</v>
      </c>
      <c r="X143" s="25">
        <f t="shared" si="95"/>
        <v>132309.3142857143</v>
      </c>
    </row>
    <row r="144" spans="2:25" x14ac:dyDescent="0.3">
      <c r="B144" s="11">
        <v>9</v>
      </c>
      <c r="C144" s="54"/>
      <c r="D144" s="55"/>
      <c r="E144" s="15" t="s">
        <v>32</v>
      </c>
      <c r="F144" s="49">
        <f t="shared" si="88"/>
        <v>165141.1</v>
      </c>
      <c r="G144" s="49"/>
      <c r="H144" s="49">
        <f t="shared" si="89"/>
        <v>166908.30000000002</v>
      </c>
      <c r="I144" s="50"/>
      <c r="K144" s="18" t="s">
        <v>15</v>
      </c>
      <c r="L144" s="19">
        <f t="shared" si="86"/>
        <v>124641.1</v>
      </c>
      <c r="M144" s="27">
        <v>21000</v>
      </c>
      <c r="N144" s="27">
        <f t="shared" si="90"/>
        <v>28350.000000000004</v>
      </c>
      <c r="O144" s="27">
        <f t="shared" si="91"/>
        <v>40500.000000000007</v>
      </c>
      <c r="P144" s="25">
        <f t="shared" si="92"/>
        <v>165141.1</v>
      </c>
      <c r="Q144" s="23"/>
      <c r="S144" s="18" t="s">
        <v>15</v>
      </c>
      <c r="T144" s="19">
        <f t="shared" si="87"/>
        <v>126408.30000000002</v>
      </c>
      <c r="U144" s="27">
        <v>21000</v>
      </c>
      <c r="V144" s="27">
        <f t="shared" si="93"/>
        <v>28350.000000000004</v>
      </c>
      <c r="W144" s="27">
        <f t="shared" si="94"/>
        <v>40500.000000000007</v>
      </c>
      <c r="X144" s="25">
        <f t="shared" si="95"/>
        <v>166908.30000000002</v>
      </c>
    </row>
    <row r="145" spans="2:24" x14ac:dyDescent="0.3">
      <c r="B145" s="11">
        <v>10</v>
      </c>
      <c r="C145" s="54"/>
      <c r="D145" s="55"/>
      <c r="E145" s="15" t="s">
        <v>33</v>
      </c>
      <c r="F145" s="49">
        <f t="shared" si="88"/>
        <v>210872.8142857143</v>
      </c>
      <c r="G145" s="49"/>
      <c r="H145" s="49">
        <f t="shared" si="89"/>
        <v>213084.8142857143</v>
      </c>
      <c r="I145" s="50"/>
      <c r="K145" s="18" t="s">
        <v>16</v>
      </c>
      <c r="L145" s="19">
        <f t="shared" si="86"/>
        <v>170372.8142857143</v>
      </c>
      <c r="M145" s="27">
        <v>21000</v>
      </c>
      <c r="N145" s="27">
        <f t="shared" si="90"/>
        <v>28350.000000000004</v>
      </c>
      <c r="O145" s="27">
        <f t="shared" si="91"/>
        <v>40500.000000000007</v>
      </c>
      <c r="P145" s="25">
        <f t="shared" si="92"/>
        <v>210872.8142857143</v>
      </c>
      <c r="Q145" s="23"/>
      <c r="S145" s="18" t="s">
        <v>16</v>
      </c>
      <c r="T145" s="19">
        <f t="shared" si="87"/>
        <v>172584.8142857143</v>
      </c>
      <c r="U145" s="27">
        <v>21000</v>
      </c>
      <c r="V145" s="27">
        <f t="shared" si="93"/>
        <v>28350.000000000004</v>
      </c>
      <c r="W145" s="27">
        <f t="shared" si="94"/>
        <v>40500.000000000007</v>
      </c>
      <c r="X145" s="25">
        <f t="shared" si="95"/>
        <v>213084.8142857143</v>
      </c>
    </row>
    <row r="146" spans="2:24" x14ac:dyDescent="0.3">
      <c r="B146" s="11">
        <v>11</v>
      </c>
      <c r="C146" s="54"/>
      <c r="D146" s="55"/>
      <c r="E146" s="15" t="s">
        <v>34</v>
      </c>
      <c r="F146" s="49">
        <f t="shared" si="88"/>
        <v>247754.7</v>
      </c>
      <c r="G146" s="49"/>
      <c r="H146" s="49">
        <f t="shared" si="89"/>
        <v>250409.10000000003</v>
      </c>
      <c r="I146" s="50"/>
      <c r="K146" s="18" t="s">
        <v>17</v>
      </c>
      <c r="L146" s="19">
        <f t="shared" si="86"/>
        <v>207254.7</v>
      </c>
      <c r="M146" s="27">
        <v>21000</v>
      </c>
      <c r="N146" s="27">
        <f t="shared" si="90"/>
        <v>28350.000000000004</v>
      </c>
      <c r="O146" s="27">
        <f t="shared" si="91"/>
        <v>40500.000000000007</v>
      </c>
      <c r="P146" s="25">
        <f t="shared" si="92"/>
        <v>247754.7</v>
      </c>
      <c r="Q146" s="23"/>
      <c r="S146" s="18" t="s">
        <v>17</v>
      </c>
      <c r="T146" s="19">
        <f t="shared" si="87"/>
        <v>209909.10000000003</v>
      </c>
      <c r="U146" s="27">
        <v>21000</v>
      </c>
      <c r="V146" s="27">
        <f t="shared" si="93"/>
        <v>28350.000000000004</v>
      </c>
      <c r="W146" s="27">
        <f t="shared" si="94"/>
        <v>40500.000000000007</v>
      </c>
      <c r="X146" s="25">
        <f t="shared" si="95"/>
        <v>250409.10000000003</v>
      </c>
    </row>
    <row r="147" spans="2:24" ht="18.75" x14ac:dyDescent="0.3">
      <c r="B147" s="51" t="s">
        <v>3</v>
      </c>
      <c r="C147" s="45" t="s">
        <v>4</v>
      </c>
      <c r="D147" s="45" t="s">
        <v>5</v>
      </c>
      <c r="E147" s="45" t="s">
        <v>6</v>
      </c>
      <c r="F147" s="52" t="s">
        <v>98</v>
      </c>
      <c r="G147" s="52"/>
      <c r="H147" s="52"/>
      <c r="I147" s="53"/>
      <c r="K147" s="56" t="s">
        <v>46</v>
      </c>
      <c r="L147" s="57"/>
      <c r="M147" s="57"/>
      <c r="N147" s="57"/>
      <c r="O147" s="57"/>
      <c r="P147" s="58"/>
      <c r="Q147" s="14"/>
      <c r="S147" s="56" t="s">
        <v>46</v>
      </c>
      <c r="T147" s="57"/>
      <c r="U147" s="57"/>
      <c r="V147" s="57"/>
      <c r="W147" s="57"/>
      <c r="X147" s="58"/>
    </row>
    <row r="148" spans="2:24" ht="18.75" x14ac:dyDescent="0.3">
      <c r="B148" s="51"/>
      <c r="C148" s="45"/>
      <c r="D148" s="45"/>
      <c r="E148" s="45"/>
      <c r="F148" s="52" t="s">
        <v>12</v>
      </c>
      <c r="G148" s="52"/>
      <c r="H148" s="52" t="s">
        <v>13</v>
      </c>
      <c r="I148" s="53"/>
      <c r="K148" s="18" t="s">
        <v>47</v>
      </c>
      <c r="L148" s="18" t="s">
        <v>87</v>
      </c>
      <c r="M148" s="18" t="s">
        <v>89</v>
      </c>
      <c r="N148" s="18" t="s">
        <v>100</v>
      </c>
      <c r="O148" s="18" t="s">
        <v>69</v>
      </c>
      <c r="P148" s="28" t="s">
        <v>70</v>
      </c>
      <c r="Q148" s="14"/>
      <c r="S148" s="18" t="s">
        <v>47</v>
      </c>
      <c r="T148" s="18" t="s">
        <v>88</v>
      </c>
      <c r="U148" s="18" t="s">
        <v>89</v>
      </c>
      <c r="V148" s="18" t="s">
        <v>100</v>
      </c>
      <c r="W148" s="18" t="s">
        <v>69</v>
      </c>
      <c r="X148" s="28" t="s">
        <v>70</v>
      </c>
    </row>
    <row r="149" spans="2:24" ht="18.75" x14ac:dyDescent="0.3">
      <c r="B149" s="11">
        <v>1</v>
      </c>
      <c r="C149" s="54" t="s">
        <v>121</v>
      </c>
      <c r="D149" s="55"/>
      <c r="E149" s="15" t="s">
        <v>24</v>
      </c>
      <c r="F149" s="49">
        <f>P149</f>
        <v>72981.257142857154</v>
      </c>
      <c r="G149" s="49"/>
      <c r="H149" s="49">
        <f>X149</f>
        <v>73050.857142857159</v>
      </c>
      <c r="I149" s="50"/>
      <c r="K149" s="18" t="s">
        <v>14</v>
      </c>
      <c r="L149" s="19">
        <f t="shared" ref="L149:L159" si="96">Q43</f>
        <v>32481.257142857146</v>
      </c>
      <c r="M149" s="27">
        <v>21000</v>
      </c>
      <c r="N149" s="27">
        <f>M149*1.35</f>
        <v>28350.000000000004</v>
      </c>
      <c r="O149" s="27">
        <f>N149/0.7</f>
        <v>40500.000000000007</v>
      </c>
      <c r="P149" s="25">
        <f>L149+O149</f>
        <v>72981.257142857154</v>
      </c>
      <c r="Q149" s="14"/>
      <c r="S149" s="18" t="s">
        <v>14</v>
      </c>
      <c r="T149" s="19">
        <f t="shared" ref="T149:T159" si="97">Y43</f>
        <v>32550.857142857145</v>
      </c>
      <c r="U149" s="27">
        <v>21000</v>
      </c>
      <c r="V149" s="27">
        <f>U149*1.35</f>
        <v>28350.000000000004</v>
      </c>
      <c r="W149" s="27">
        <f>V149/0.7</f>
        <v>40500.000000000007</v>
      </c>
      <c r="X149" s="25">
        <f>T149+W149</f>
        <v>73050.857142857159</v>
      </c>
    </row>
    <row r="150" spans="2:24" ht="18.75" x14ac:dyDescent="0.3">
      <c r="B150" s="11">
        <v>2</v>
      </c>
      <c r="C150" s="54"/>
      <c r="D150" s="55"/>
      <c r="E150" s="15" t="s">
        <v>25</v>
      </c>
      <c r="F150" s="49">
        <f t="shared" ref="F150:F159" si="98">P150</f>
        <v>77136.071428571449</v>
      </c>
      <c r="G150" s="49"/>
      <c r="H150" s="49">
        <f t="shared" ref="H150:H159" si="99">X150</f>
        <v>77280.071428571449</v>
      </c>
      <c r="I150" s="50"/>
      <c r="K150" s="18" t="s">
        <v>18</v>
      </c>
      <c r="L150" s="19">
        <f t="shared" si="96"/>
        <v>36636.071428571435</v>
      </c>
      <c r="M150" s="27">
        <v>21000</v>
      </c>
      <c r="N150" s="27">
        <f t="shared" ref="N150:N159" si="100">M150*1.35</f>
        <v>28350.000000000004</v>
      </c>
      <c r="O150" s="27">
        <f t="shared" ref="O150:O159" si="101">N150/0.7</f>
        <v>40500.000000000007</v>
      </c>
      <c r="P150" s="25">
        <f t="shared" ref="P150:P159" si="102">L150+O150</f>
        <v>77136.071428571449</v>
      </c>
      <c r="Q150" s="14"/>
      <c r="S150" s="18" t="s">
        <v>18</v>
      </c>
      <c r="T150" s="19">
        <f t="shared" si="97"/>
        <v>36780.071428571435</v>
      </c>
      <c r="U150" s="27">
        <v>21000</v>
      </c>
      <c r="V150" s="27">
        <f t="shared" ref="V150:V159" si="103">U150*1.35</f>
        <v>28350.000000000004</v>
      </c>
      <c r="W150" s="27">
        <f t="shared" ref="W150:W159" si="104">V150/0.7</f>
        <v>40500.000000000007</v>
      </c>
      <c r="X150" s="25">
        <f t="shared" ref="X150:X159" si="105">T150+W150</f>
        <v>77280.071428571449</v>
      </c>
    </row>
    <row r="151" spans="2:24" ht="18.75" x14ac:dyDescent="0.3">
      <c r="B151" s="11">
        <v>3</v>
      </c>
      <c r="C151" s="54"/>
      <c r="D151" s="55"/>
      <c r="E151" s="15" t="s">
        <v>26</v>
      </c>
      <c r="F151" s="49">
        <f t="shared" si="98"/>
        <v>83115.64285714287</v>
      </c>
      <c r="G151" s="49"/>
      <c r="H151" s="49">
        <f t="shared" si="99"/>
        <v>83335.64285714287</v>
      </c>
      <c r="I151" s="50"/>
      <c r="K151" s="18" t="s">
        <v>7</v>
      </c>
      <c r="L151" s="19">
        <f t="shared" si="96"/>
        <v>42615.642857142855</v>
      </c>
      <c r="M151" s="27">
        <v>21000</v>
      </c>
      <c r="N151" s="27">
        <f t="shared" si="100"/>
        <v>28350.000000000004</v>
      </c>
      <c r="O151" s="27">
        <f t="shared" si="101"/>
        <v>40500.000000000007</v>
      </c>
      <c r="P151" s="25">
        <f t="shared" si="102"/>
        <v>83115.64285714287</v>
      </c>
      <c r="Q151" s="14"/>
      <c r="S151" s="18" t="s">
        <v>7</v>
      </c>
      <c r="T151" s="19">
        <f t="shared" si="97"/>
        <v>42835.642857142855</v>
      </c>
      <c r="U151" s="27">
        <v>21000</v>
      </c>
      <c r="V151" s="27">
        <f t="shared" si="103"/>
        <v>28350.000000000004</v>
      </c>
      <c r="W151" s="27">
        <f t="shared" si="104"/>
        <v>40500.000000000007</v>
      </c>
      <c r="X151" s="25">
        <f t="shared" si="105"/>
        <v>83335.64285714287</v>
      </c>
    </row>
    <row r="152" spans="2:24" ht="18.75" x14ac:dyDescent="0.3">
      <c r="B152" s="11">
        <v>4</v>
      </c>
      <c r="C152" s="54"/>
      <c r="D152" s="55"/>
      <c r="E152" s="15" t="s">
        <v>27</v>
      </c>
      <c r="F152" s="49">
        <f t="shared" si="98"/>
        <v>93627.685714285733</v>
      </c>
      <c r="G152" s="49"/>
      <c r="H152" s="49">
        <f t="shared" si="99"/>
        <v>93837.285714285725</v>
      </c>
      <c r="I152" s="50"/>
      <c r="K152" s="18" t="s">
        <v>8</v>
      </c>
      <c r="L152" s="19">
        <f t="shared" si="96"/>
        <v>53127.685714285719</v>
      </c>
      <c r="M152" s="27">
        <v>21000</v>
      </c>
      <c r="N152" s="27">
        <f t="shared" si="100"/>
        <v>28350.000000000004</v>
      </c>
      <c r="O152" s="27">
        <f t="shared" si="101"/>
        <v>40500.000000000007</v>
      </c>
      <c r="P152" s="25">
        <f t="shared" si="102"/>
        <v>93627.685714285733</v>
      </c>
      <c r="Q152" s="14"/>
      <c r="S152" s="18" t="s">
        <v>8</v>
      </c>
      <c r="T152" s="19">
        <f t="shared" si="97"/>
        <v>53337.285714285717</v>
      </c>
      <c r="U152" s="27">
        <v>21000</v>
      </c>
      <c r="V152" s="27">
        <f t="shared" si="103"/>
        <v>28350.000000000004</v>
      </c>
      <c r="W152" s="27">
        <f t="shared" si="104"/>
        <v>40500.000000000007</v>
      </c>
      <c r="X152" s="25">
        <f t="shared" si="105"/>
        <v>93837.285714285725</v>
      </c>
    </row>
    <row r="153" spans="2:24" ht="18.75" x14ac:dyDescent="0.3">
      <c r="B153" s="11">
        <v>5</v>
      </c>
      <c r="C153" s="54"/>
      <c r="D153" s="55"/>
      <c r="E153" s="15" t="s">
        <v>28</v>
      </c>
      <c r="F153" s="49">
        <f t="shared" si="98"/>
        <v>97687.085714285728</v>
      </c>
      <c r="G153" s="49"/>
      <c r="H153" s="49">
        <f t="shared" si="99"/>
        <v>98080.685714285733</v>
      </c>
      <c r="I153" s="50"/>
      <c r="K153" s="18" t="s">
        <v>9</v>
      </c>
      <c r="L153" s="19">
        <f t="shared" si="96"/>
        <v>57187.085714285713</v>
      </c>
      <c r="M153" s="27">
        <v>21000</v>
      </c>
      <c r="N153" s="27">
        <f t="shared" si="100"/>
        <v>28350.000000000004</v>
      </c>
      <c r="O153" s="27">
        <f t="shared" si="101"/>
        <v>40500.000000000007</v>
      </c>
      <c r="P153" s="25">
        <f t="shared" si="102"/>
        <v>97687.085714285728</v>
      </c>
      <c r="Q153" s="14"/>
      <c r="S153" s="18" t="s">
        <v>9</v>
      </c>
      <c r="T153" s="19">
        <f t="shared" si="97"/>
        <v>57580.685714285719</v>
      </c>
      <c r="U153" s="27">
        <v>21000</v>
      </c>
      <c r="V153" s="27">
        <f t="shared" si="103"/>
        <v>28350.000000000004</v>
      </c>
      <c r="W153" s="27">
        <f t="shared" si="104"/>
        <v>40500.000000000007</v>
      </c>
      <c r="X153" s="25">
        <f t="shared" si="105"/>
        <v>98080.685714285733</v>
      </c>
    </row>
    <row r="154" spans="2:24" ht="18.75" x14ac:dyDescent="0.3">
      <c r="B154" s="11">
        <v>6</v>
      </c>
      <c r="C154" s="54"/>
      <c r="D154" s="55"/>
      <c r="E154" s="15" t="s">
        <v>29</v>
      </c>
      <c r="F154" s="49">
        <f t="shared" si="98"/>
        <v>120372.90000000002</v>
      </c>
      <c r="G154" s="49"/>
      <c r="H154" s="49">
        <f t="shared" si="99"/>
        <v>120921.70000000001</v>
      </c>
      <c r="I154" s="50"/>
      <c r="K154" s="18" t="s">
        <v>10</v>
      </c>
      <c r="L154" s="19">
        <f t="shared" si="96"/>
        <v>79872.900000000009</v>
      </c>
      <c r="M154" s="27">
        <v>21000</v>
      </c>
      <c r="N154" s="27">
        <f t="shared" si="100"/>
        <v>28350.000000000004</v>
      </c>
      <c r="O154" s="27">
        <f t="shared" si="101"/>
        <v>40500.000000000007</v>
      </c>
      <c r="P154" s="25">
        <f t="shared" si="102"/>
        <v>120372.90000000002</v>
      </c>
      <c r="Q154" s="14"/>
      <c r="S154" s="18" t="s">
        <v>10</v>
      </c>
      <c r="T154" s="19">
        <f t="shared" si="97"/>
        <v>80421.700000000012</v>
      </c>
      <c r="U154" s="27">
        <v>21000</v>
      </c>
      <c r="V154" s="27">
        <f t="shared" si="103"/>
        <v>28350.000000000004</v>
      </c>
      <c r="W154" s="27">
        <f t="shared" si="104"/>
        <v>40500.000000000007</v>
      </c>
      <c r="X154" s="25">
        <f t="shared" si="105"/>
        <v>120921.70000000001</v>
      </c>
    </row>
    <row r="155" spans="2:24" ht="18.75" x14ac:dyDescent="0.3">
      <c r="B155" s="11">
        <v>7</v>
      </c>
      <c r="C155" s="54"/>
      <c r="D155" s="55"/>
      <c r="E155" s="15" t="s">
        <v>30</v>
      </c>
      <c r="F155" s="49">
        <f t="shared" si="98"/>
        <v>151149.8285714286</v>
      </c>
      <c r="G155" s="49"/>
      <c r="H155" s="49">
        <f t="shared" si="99"/>
        <v>151997.02857142861</v>
      </c>
      <c r="I155" s="50"/>
      <c r="K155" s="18" t="s">
        <v>19</v>
      </c>
      <c r="L155" s="19">
        <f t="shared" si="96"/>
        <v>110649.8285714286</v>
      </c>
      <c r="M155" s="27">
        <v>21000</v>
      </c>
      <c r="N155" s="27">
        <f t="shared" si="100"/>
        <v>28350.000000000004</v>
      </c>
      <c r="O155" s="27">
        <f t="shared" si="101"/>
        <v>40500.000000000007</v>
      </c>
      <c r="P155" s="25">
        <f t="shared" si="102"/>
        <v>151149.8285714286</v>
      </c>
      <c r="Q155" s="14"/>
      <c r="S155" s="18" t="s">
        <v>19</v>
      </c>
      <c r="T155" s="19">
        <f t="shared" si="97"/>
        <v>111497.0285714286</v>
      </c>
      <c r="U155" s="27">
        <v>21000</v>
      </c>
      <c r="V155" s="27">
        <f t="shared" si="103"/>
        <v>28350.000000000004</v>
      </c>
      <c r="W155" s="27">
        <f t="shared" si="104"/>
        <v>40500.000000000007</v>
      </c>
      <c r="X155" s="25">
        <f t="shared" si="105"/>
        <v>151997.02857142861</v>
      </c>
    </row>
    <row r="156" spans="2:24" ht="18.75" x14ac:dyDescent="0.3">
      <c r="B156" s="11">
        <v>8</v>
      </c>
      <c r="C156" s="54"/>
      <c r="D156" s="55"/>
      <c r="E156" s="15" t="s">
        <v>31</v>
      </c>
      <c r="F156" s="49">
        <f t="shared" si="98"/>
        <v>159229.42857142858</v>
      </c>
      <c r="G156" s="49"/>
      <c r="H156" s="49">
        <f t="shared" si="99"/>
        <v>160127.02857142861</v>
      </c>
      <c r="I156" s="50"/>
      <c r="K156" s="18" t="s">
        <v>11</v>
      </c>
      <c r="L156" s="19">
        <f t="shared" si="96"/>
        <v>118729.42857142858</v>
      </c>
      <c r="M156" s="27">
        <v>21000</v>
      </c>
      <c r="N156" s="27">
        <f t="shared" si="100"/>
        <v>28350.000000000004</v>
      </c>
      <c r="O156" s="27">
        <f t="shared" si="101"/>
        <v>40500.000000000007</v>
      </c>
      <c r="P156" s="25">
        <f t="shared" si="102"/>
        <v>159229.42857142858</v>
      </c>
      <c r="Q156" s="14"/>
      <c r="S156" s="18" t="s">
        <v>11</v>
      </c>
      <c r="T156" s="19">
        <f t="shared" si="97"/>
        <v>119627.0285714286</v>
      </c>
      <c r="U156" s="27">
        <v>21000</v>
      </c>
      <c r="V156" s="27">
        <f t="shared" si="103"/>
        <v>28350.000000000004</v>
      </c>
      <c r="W156" s="27">
        <f t="shared" si="104"/>
        <v>40500.000000000007</v>
      </c>
      <c r="X156" s="25">
        <f t="shared" si="105"/>
        <v>160127.02857142861</v>
      </c>
    </row>
    <row r="157" spans="2:24" ht="18.75" x14ac:dyDescent="0.3">
      <c r="B157" s="11">
        <v>9</v>
      </c>
      <c r="C157" s="54"/>
      <c r="D157" s="55"/>
      <c r="E157" s="15" t="s">
        <v>32</v>
      </c>
      <c r="F157" s="49">
        <f t="shared" si="98"/>
        <v>211376.67142857146</v>
      </c>
      <c r="G157" s="49"/>
      <c r="H157" s="49">
        <f t="shared" si="99"/>
        <v>213143.87142857147</v>
      </c>
      <c r="I157" s="50"/>
      <c r="K157" s="18" t="s">
        <v>15</v>
      </c>
      <c r="L157" s="19">
        <f t="shared" si="96"/>
        <v>170876.67142857146</v>
      </c>
      <c r="M157" s="27">
        <v>21000</v>
      </c>
      <c r="N157" s="27">
        <f t="shared" si="100"/>
        <v>28350.000000000004</v>
      </c>
      <c r="O157" s="27">
        <f t="shared" si="101"/>
        <v>40500.000000000007</v>
      </c>
      <c r="P157" s="25">
        <f t="shared" si="102"/>
        <v>211376.67142857146</v>
      </c>
      <c r="Q157" s="14"/>
      <c r="S157" s="18" t="s">
        <v>15</v>
      </c>
      <c r="T157" s="19">
        <f t="shared" si="97"/>
        <v>172643.87142857147</v>
      </c>
      <c r="U157" s="27">
        <v>21000</v>
      </c>
      <c r="V157" s="27">
        <f t="shared" si="103"/>
        <v>28350.000000000004</v>
      </c>
      <c r="W157" s="27">
        <f t="shared" si="104"/>
        <v>40500.000000000007</v>
      </c>
      <c r="X157" s="25">
        <f t="shared" si="105"/>
        <v>213143.87142857147</v>
      </c>
    </row>
    <row r="158" spans="2:24" ht="18.75" x14ac:dyDescent="0.3">
      <c r="B158" s="11">
        <v>10</v>
      </c>
      <c r="C158" s="54"/>
      <c r="D158" s="55"/>
      <c r="E158" s="15" t="s">
        <v>33</v>
      </c>
      <c r="F158" s="49">
        <f t="shared" si="98"/>
        <v>264558.45714285719</v>
      </c>
      <c r="G158" s="49"/>
      <c r="H158" s="49">
        <f t="shared" si="99"/>
        <v>266770.45714285719</v>
      </c>
      <c r="I158" s="50"/>
      <c r="K158" s="18" t="s">
        <v>16</v>
      </c>
      <c r="L158" s="19">
        <f t="shared" si="96"/>
        <v>224058.45714285717</v>
      </c>
      <c r="M158" s="27">
        <v>21000</v>
      </c>
      <c r="N158" s="27">
        <f t="shared" si="100"/>
        <v>28350.000000000004</v>
      </c>
      <c r="O158" s="27">
        <f t="shared" si="101"/>
        <v>40500.000000000007</v>
      </c>
      <c r="P158" s="25">
        <f t="shared" si="102"/>
        <v>264558.45714285719</v>
      </c>
      <c r="Q158" s="14"/>
      <c r="S158" s="18" t="s">
        <v>16</v>
      </c>
      <c r="T158" s="19">
        <f t="shared" si="97"/>
        <v>226270.45714285719</v>
      </c>
      <c r="U158" s="27">
        <v>21000</v>
      </c>
      <c r="V158" s="27">
        <f t="shared" si="103"/>
        <v>28350.000000000004</v>
      </c>
      <c r="W158" s="27">
        <f t="shared" si="104"/>
        <v>40500.000000000007</v>
      </c>
      <c r="X158" s="25">
        <f t="shared" si="105"/>
        <v>266770.45714285719</v>
      </c>
    </row>
    <row r="159" spans="2:24" ht="18.75" x14ac:dyDescent="0.3">
      <c r="B159" s="11">
        <v>11</v>
      </c>
      <c r="C159" s="54"/>
      <c r="D159" s="55"/>
      <c r="E159" s="15" t="s">
        <v>34</v>
      </c>
      <c r="F159" s="49">
        <f t="shared" si="98"/>
        <v>406570.62857142859</v>
      </c>
      <c r="G159" s="49"/>
      <c r="H159" s="49">
        <f t="shared" si="99"/>
        <v>409225.02857142861</v>
      </c>
      <c r="I159" s="50"/>
      <c r="K159" s="18" t="s">
        <v>17</v>
      </c>
      <c r="L159" s="19">
        <f t="shared" si="96"/>
        <v>366070.62857142859</v>
      </c>
      <c r="M159" s="27">
        <v>21000</v>
      </c>
      <c r="N159" s="27">
        <f t="shared" si="100"/>
        <v>28350.000000000004</v>
      </c>
      <c r="O159" s="27">
        <f t="shared" si="101"/>
        <v>40500.000000000007</v>
      </c>
      <c r="P159" s="25">
        <f t="shared" si="102"/>
        <v>406570.62857142859</v>
      </c>
      <c r="Q159" s="14"/>
      <c r="S159" s="18" t="s">
        <v>17</v>
      </c>
      <c r="T159" s="19">
        <f t="shared" si="97"/>
        <v>368725.02857142861</v>
      </c>
      <c r="U159" s="27">
        <v>21000</v>
      </c>
      <c r="V159" s="27">
        <f t="shared" si="103"/>
        <v>28350.000000000004</v>
      </c>
      <c r="W159" s="27">
        <f t="shared" si="104"/>
        <v>40500.000000000007</v>
      </c>
      <c r="X159" s="25">
        <f t="shared" si="105"/>
        <v>409225.02857142861</v>
      </c>
    </row>
    <row r="160" spans="2:24" ht="18.75" x14ac:dyDescent="0.3">
      <c r="B160" s="31" t="s">
        <v>90</v>
      </c>
      <c r="C160" s="5"/>
      <c r="D160" s="5"/>
      <c r="E160" s="6"/>
      <c r="F160" s="6"/>
      <c r="G160" s="6"/>
      <c r="H160" s="6"/>
      <c r="I160" s="32"/>
    </row>
    <row r="161" spans="2:9" x14ac:dyDescent="0.3">
      <c r="B161" s="33" t="s">
        <v>91</v>
      </c>
      <c r="C161" s="5"/>
      <c r="D161" s="5"/>
      <c r="E161" s="6"/>
      <c r="F161" s="6"/>
      <c r="G161" s="6"/>
      <c r="H161" s="6"/>
      <c r="I161" s="32"/>
    </row>
    <row r="162" spans="2:9" x14ac:dyDescent="0.3">
      <c r="B162" s="33" t="s">
        <v>92</v>
      </c>
      <c r="C162" s="5"/>
      <c r="D162" s="5"/>
      <c r="E162" s="6"/>
      <c r="F162" s="6"/>
      <c r="G162" s="6"/>
      <c r="H162" s="6"/>
      <c r="I162" s="32"/>
    </row>
    <row r="163" spans="2:9" x14ac:dyDescent="0.3">
      <c r="B163" s="33" t="s">
        <v>93</v>
      </c>
      <c r="C163" s="5"/>
      <c r="D163" s="5"/>
      <c r="E163" s="6"/>
      <c r="F163" s="6"/>
      <c r="G163" s="6"/>
      <c r="H163" s="6"/>
      <c r="I163" s="32"/>
    </row>
    <row r="164" spans="2:9" x14ac:dyDescent="0.3">
      <c r="B164" s="33" t="s">
        <v>94</v>
      </c>
      <c r="C164" s="5"/>
      <c r="D164" s="5"/>
      <c r="E164" s="6"/>
      <c r="F164" s="6"/>
      <c r="G164" s="6"/>
      <c r="H164" s="6"/>
      <c r="I164" s="32"/>
    </row>
    <row r="165" spans="2:9" x14ac:dyDescent="0.3">
      <c r="B165" s="33" t="s">
        <v>95</v>
      </c>
      <c r="C165" s="5"/>
      <c r="D165" s="5"/>
      <c r="E165" s="6"/>
      <c r="F165" s="6"/>
      <c r="G165" s="6"/>
      <c r="H165" s="6"/>
      <c r="I165" s="32"/>
    </row>
    <row r="166" spans="2:9" x14ac:dyDescent="0.3">
      <c r="B166" s="33" t="s">
        <v>96</v>
      </c>
      <c r="C166" s="5"/>
      <c r="D166" s="5"/>
      <c r="E166" s="6"/>
      <c r="F166" s="6"/>
      <c r="G166" s="6"/>
      <c r="H166" s="6"/>
      <c r="I166" s="32"/>
    </row>
    <row r="167" spans="2:9" x14ac:dyDescent="0.3">
      <c r="B167" s="33" t="s">
        <v>97</v>
      </c>
      <c r="C167" s="5"/>
      <c r="D167" s="5"/>
      <c r="E167" s="6"/>
      <c r="F167" s="6"/>
      <c r="G167" s="6"/>
      <c r="H167" s="6"/>
      <c r="I167" s="32"/>
    </row>
    <row r="168" spans="2:9" ht="17.25" thickBot="1" x14ac:dyDescent="0.35">
      <c r="B168" s="34" t="s">
        <v>108</v>
      </c>
      <c r="C168" s="35"/>
      <c r="D168" s="35"/>
      <c r="E168" s="36"/>
      <c r="F168" s="36"/>
      <c r="G168" s="36"/>
      <c r="H168" s="36"/>
      <c r="I168" s="44" t="s">
        <v>109</v>
      </c>
    </row>
  </sheetData>
  <mergeCells count="374">
    <mergeCell ref="F6:I7"/>
    <mergeCell ref="F5:I5"/>
    <mergeCell ref="B14:I14"/>
    <mergeCell ref="B15:B16"/>
    <mergeCell ref="C15:C16"/>
    <mergeCell ref="D15:D16"/>
    <mergeCell ref="E15:E16"/>
    <mergeCell ref="F15:I15"/>
    <mergeCell ref="F8:I8"/>
    <mergeCell ref="F9:I9"/>
    <mergeCell ref="F10:I10"/>
    <mergeCell ref="F11:I11"/>
    <mergeCell ref="B13:I13"/>
    <mergeCell ref="S28:Y28"/>
    <mergeCell ref="F29:G29"/>
    <mergeCell ref="H29:I29"/>
    <mergeCell ref="F30:G30"/>
    <mergeCell ref="H30:I30"/>
    <mergeCell ref="C17:C27"/>
    <mergeCell ref="D17:D27"/>
    <mergeCell ref="F17:G17"/>
    <mergeCell ref="H17:I17"/>
    <mergeCell ref="F18:G18"/>
    <mergeCell ref="F22:G22"/>
    <mergeCell ref="H22:I22"/>
    <mergeCell ref="F23:G23"/>
    <mergeCell ref="H23:I23"/>
    <mergeCell ref="F24:G24"/>
    <mergeCell ref="H24:I24"/>
    <mergeCell ref="H18:I18"/>
    <mergeCell ref="F19:G19"/>
    <mergeCell ref="H19:I19"/>
    <mergeCell ref="F20:G20"/>
    <mergeCell ref="H20:I20"/>
    <mergeCell ref="F21:G21"/>
    <mergeCell ref="H21:I21"/>
    <mergeCell ref="F25:G25"/>
    <mergeCell ref="B28:B29"/>
    <mergeCell ref="C28:C29"/>
    <mergeCell ref="D28:D29"/>
    <mergeCell ref="E28:E29"/>
    <mergeCell ref="F28:I28"/>
    <mergeCell ref="K28:Q28"/>
    <mergeCell ref="K15:N15"/>
    <mergeCell ref="O15:R15"/>
    <mergeCell ref="F16:G16"/>
    <mergeCell ref="H16:I16"/>
    <mergeCell ref="K16:L16"/>
    <mergeCell ref="H25:I25"/>
    <mergeCell ref="F26:G26"/>
    <mergeCell ref="H26:I26"/>
    <mergeCell ref="F27:G27"/>
    <mergeCell ref="H27:I27"/>
    <mergeCell ref="F36:G36"/>
    <mergeCell ref="H36:I36"/>
    <mergeCell ref="F37:G37"/>
    <mergeCell ref="H37:I37"/>
    <mergeCell ref="F38:G38"/>
    <mergeCell ref="H38:I38"/>
    <mergeCell ref="C30:C40"/>
    <mergeCell ref="D30:D40"/>
    <mergeCell ref="H32:I32"/>
    <mergeCell ref="F33:G33"/>
    <mergeCell ref="H33:I33"/>
    <mergeCell ref="F34:G34"/>
    <mergeCell ref="H34:I34"/>
    <mergeCell ref="F35:G35"/>
    <mergeCell ref="H35:I35"/>
    <mergeCell ref="F39:G39"/>
    <mergeCell ref="H39:I39"/>
    <mergeCell ref="F40:G40"/>
    <mergeCell ref="H40:I40"/>
    <mergeCell ref="F31:G31"/>
    <mergeCell ref="H31:I31"/>
    <mergeCell ref="F32:G32"/>
    <mergeCell ref="B41:B42"/>
    <mergeCell ref="C41:C42"/>
    <mergeCell ref="D41:D42"/>
    <mergeCell ref="E41:E42"/>
    <mergeCell ref="F41:I41"/>
    <mergeCell ref="S54:X54"/>
    <mergeCell ref="C43:C53"/>
    <mergeCell ref="D43:D53"/>
    <mergeCell ref="F43:G43"/>
    <mergeCell ref="H43:I43"/>
    <mergeCell ref="F44:G44"/>
    <mergeCell ref="H44:I44"/>
    <mergeCell ref="F45:G45"/>
    <mergeCell ref="H45:I45"/>
    <mergeCell ref="F46:G46"/>
    <mergeCell ref="H46:I46"/>
    <mergeCell ref="F47:G47"/>
    <mergeCell ref="H47:I47"/>
    <mergeCell ref="K41:Q41"/>
    <mergeCell ref="S41:Y41"/>
    <mergeCell ref="F42:G42"/>
    <mergeCell ref="H42:I42"/>
    <mergeCell ref="H85:I85"/>
    <mergeCell ref="F51:G51"/>
    <mergeCell ref="H51:I51"/>
    <mergeCell ref="F52:G52"/>
    <mergeCell ref="H52:I52"/>
    <mergeCell ref="F53:G53"/>
    <mergeCell ref="H53:I53"/>
    <mergeCell ref="F48:G48"/>
    <mergeCell ref="H48:I48"/>
    <mergeCell ref="F49:G49"/>
    <mergeCell ref="H49:I49"/>
    <mergeCell ref="F50:G50"/>
    <mergeCell ref="H50:I50"/>
    <mergeCell ref="B134:B135"/>
    <mergeCell ref="C134:C135"/>
    <mergeCell ref="D134:D135"/>
    <mergeCell ref="E134:E135"/>
    <mergeCell ref="F134:I134"/>
    <mergeCell ref="K134:P134"/>
    <mergeCell ref="B107:B108"/>
    <mergeCell ref="C107:C108"/>
    <mergeCell ref="D107:D108"/>
    <mergeCell ref="E107:E108"/>
    <mergeCell ref="F107:I107"/>
    <mergeCell ref="K107:P107"/>
    <mergeCell ref="F113:G113"/>
    <mergeCell ref="H113:I113"/>
    <mergeCell ref="F114:G114"/>
    <mergeCell ref="H114:I114"/>
    <mergeCell ref="C109:C119"/>
    <mergeCell ref="D109:D119"/>
    <mergeCell ref="F109:G109"/>
    <mergeCell ref="H109:I109"/>
    <mergeCell ref="F110:G110"/>
    <mergeCell ref="H110:I110"/>
    <mergeCell ref="F111:G111"/>
    <mergeCell ref="H111:I111"/>
    <mergeCell ref="B147:B148"/>
    <mergeCell ref="C147:C148"/>
    <mergeCell ref="D147:D148"/>
    <mergeCell ref="E147:E148"/>
    <mergeCell ref="F147:I147"/>
    <mergeCell ref="F142:G142"/>
    <mergeCell ref="H142:I142"/>
    <mergeCell ref="F143:G143"/>
    <mergeCell ref="H143:I143"/>
    <mergeCell ref="F144:G144"/>
    <mergeCell ref="H144:I144"/>
    <mergeCell ref="C136:C146"/>
    <mergeCell ref="D136:D146"/>
    <mergeCell ref="H138:I138"/>
    <mergeCell ref="F139:G139"/>
    <mergeCell ref="H139:I139"/>
    <mergeCell ref="F140:G140"/>
    <mergeCell ref="H140:I140"/>
    <mergeCell ref="F141:G141"/>
    <mergeCell ref="H141:I141"/>
    <mergeCell ref="F136:G136"/>
    <mergeCell ref="H136:I136"/>
    <mergeCell ref="F137:G137"/>
    <mergeCell ref="H137:I137"/>
    <mergeCell ref="C149:C159"/>
    <mergeCell ref="D149:D159"/>
    <mergeCell ref="F149:G149"/>
    <mergeCell ref="H149:I149"/>
    <mergeCell ref="F150:G150"/>
    <mergeCell ref="H150:I150"/>
    <mergeCell ref="F145:G145"/>
    <mergeCell ref="H145:I145"/>
    <mergeCell ref="F146:G146"/>
    <mergeCell ref="H146:I146"/>
    <mergeCell ref="F151:G151"/>
    <mergeCell ref="H151:I151"/>
    <mergeCell ref="F152:G152"/>
    <mergeCell ref="H152:I152"/>
    <mergeCell ref="F153:G153"/>
    <mergeCell ref="H153:I153"/>
    <mergeCell ref="F157:G157"/>
    <mergeCell ref="H157:I157"/>
    <mergeCell ref="F158:G158"/>
    <mergeCell ref="H158:I158"/>
    <mergeCell ref="F159:G159"/>
    <mergeCell ref="H159:I159"/>
    <mergeCell ref="F154:G154"/>
    <mergeCell ref="H154:I154"/>
    <mergeCell ref="F155:G155"/>
    <mergeCell ref="H155:I155"/>
    <mergeCell ref="F156:G156"/>
    <mergeCell ref="H156:I156"/>
    <mergeCell ref="E68:E69"/>
    <mergeCell ref="F68:I68"/>
    <mergeCell ref="F69:G69"/>
    <mergeCell ref="H69:I69"/>
    <mergeCell ref="F66:G66"/>
    <mergeCell ref="H66:I66"/>
    <mergeCell ref="F96:G96"/>
    <mergeCell ref="H96:I96"/>
    <mergeCell ref="F97:G97"/>
    <mergeCell ref="H97:I97"/>
    <mergeCell ref="F98:G98"/>
    <mergeCell ref="H98:I98"/>
    <mergeCell ref="F99:G99"/>
    <mergeCell ref="F90:G90"/>
    <mergeCell ref="H90:I90"/>
    <mergeCell ref="F91:G91"/>
    <mergeCell ref="H91:I91"/>
    <mergeCell ref="F92:G92"/>
    <mergeCell ref="H92:I92"/>
    <mergeCell ref="E94:E95"/>
    <mergeCell ref="K147:P147"/>
    <mergeCell ref="S147:X147"/>
    <mergeCell ref="F148:G148"/>
    <mergeCell ref="H148:I148"/>
    <mergeCell ref="S134:X134"/>
    <mergeCell ref="F135:G135"/>
    <mergeCell ref="H135:I135"/>
    <mergeCell ref="F138:G138"/>
    <mergeCell ref="F112:G112"/>
    <mergeCell ref="H112:I112"/>
    <mergeCell ref="F119:G119"/>
    <mergeCell ref="H119:I119"/>
    <mergeCell ref="F115:G115"/>
    <mergeCell ref="H115:I115"/>
    <mergeCell ref="S120:X120"/>
    <mergeCell ref="F121:G121"/>
    <mergeCell ref="H121:I121"/>
    <mergeCell ref="K120:P120"/>
    <mergeCell ref="F63:G63"/>
    <mergeCell ref="H63:I63"/>
    <mergeCell ref="F64:G64"/>
    <mergeCell ref="H64:I64"/>
    <mergeCell ref="F65:G65"/>
    <mergeCell ref="H65:I65"/>
    <mergeCell ref="F60:G60"/>
    <mergeCell ref="H60:I60"/>
    <mergeCell ref="C56:C66"/>
    <mergeCell ref="D56:D66"/>
    <mergeCell ref="B54:B55"/>
    <mergeCell ref="C54:C55"/>
    <mergeCell ref="D54:D55"/>
    <mergeCell ref="E54:E55"/>
    <mergeCell ref="F73:G73"/>
    <mergeCell ref="H73:I73"/>
    <mergeCell ref="K54:P54"/>
    <mergeCell ref="F56:G56"/>
    <mergeCell ref="H56:I56"/>
    <mergeCell ref="F57:G57"/>
    <mergeCell ref="H57:I57"/>
    <mergeCell ref="F58:G58"/>
    <mergeCell ref="H58:I58"/>
    <mergeCell ref="F59:G59"/>
    <mergeCell ref="H59:I59"/>
    <mergeCell ref="F61:G61"/>
    <mergeCell ref="H61:I61"/>
    <mergeCell ref="F62:G62"/>
    <mergeCell ref="H62:I62"/>
    <mergeCell ref="F70:G70"/>
    <mergeCell ref="H70:I70"/>
    <mergeCell ref="F71:G71"/>
    <mergeCell ref="H71:I71"/>
    <mergeCell ref="F54:I54"/>
    <mergeCell ref="F55:G55"/>
    <mergeCell ref="H55:I55"/>
    <mergeCell ref="F72:G72"/>
    <mergeCell ref="H72:I72"/>
    <mergeCell ref="F80:G80"/>
    <mergeCell ref="H80:I80"/>
    <mergeCell ref="K68:P68"/>
    <mergeCell ref="S68:X68"/>
    <mergeCell ref="B81:B82"/>
    <mergeCell ref="C81:C82"/>
    <mergeCell ref="D81:D82"/>
    <mergeCell ref="E81:E82"/>
    <mergeCell ref="F81:I81"/>
    <mergeCell ref="K81:P81"/>
    <mergeCell ref="F77:G77"/>
    <mergeCell ref="H77:I77"/>
    <mergeCell ref="F78:G78"/>
    <mergeCell ref="H78:I78"/>
    <mergeCell ref="F79:G79"/>
    <mergeCell ref="H79:I79"/>
    <mergeCell ref="F74:G74"/>
    <mergeCell ref="H74:I74"/>
    <mergeCell ref="F75:G75"/>
    <mergeCell ref="H75:I75"/>
    <mergeCell ref="S81:X81"/>
    <mergeCell ref="F82:G82"/>
    <mergeCell ref="H82:I82"/>
    <mergeCell ref="C83:C93"/>
    <mergeCell ref="D83:D93"/>
    <mergeCell ref="F83:G83"/>
    <mergeCell ref="H83:I83"/>
    <mergeCell ref="F84:G84"/>
    <mergeCell ref="H84:I84"/>
    <mergeCell ref="F85:G85"/>
    <mergeCell ref="F93:G93"/>
    <mergeCell ref="H93:I93"/>
    <mergeCell ref="H89:I89"/>
    <mergeCell ref="F86:G86"/>
    <mergeCell ref="H86:I86"/>
    <mergeCell ref="F87:G87"/>
    <mergeCell ref="H87:I87"/>
    <mergeCell ref="F88:G88"/>
    <mergeCell ref="H88:I88"/>
    <mergeCell ref="F89:G89"/>
    <mergeCell ref="S107:X107"/>
    <mergeCell ref="F108:G108"/>
    <mergeCell ref="H108:I108"/>
    <mergeCell ref="K94:P94"/>
    <mergeCell ref="S94:X94"/>
    <mergeCell ref="F95:G95"/>
    <mergeCell ref="H95:I95"/>
    <mergeCell ref="C96:C106"/>
    <mergeCell ref="D96:D106"/>
    <mergeCell ref="F103:G103"/>
    <mergeCell ref="H103:I103"/>
    <mergeCell ref="F104:G104"/>
    <mergeCell ref="H104:I104"/>
    <mergeCell ref="F105:G105"/>
    <mergeCell ref="H105:I105"/>
    <mergeCell ref="H99:I99"/>
    <mergeCell ref="F100:G100"/>
    <mergeCell ref="H100:I100"/>
    <mergeCell ref="F101:G101"/>
    <mergeCell ref="F106:G106"/>
    <mergeCell ref="H106:I106"/>
    <mergeCell ref="H101:I101"/>
    <mergeCell ref="F102:G102"/>
    <mergeCell ref="H102:I102"/>
    <mergeCell ref="D70:D80"/>
    <mergeCell ref="B68:B69"/>
    <mergeCell ref="C122:C132"/>
    <mergeCell ref="D122:D132"/>
    <mergeCell ref="F122:G122"/>
    <mergeCell ref="H122:I122"/>
    <mergeCell ref="F123:G123"/>
    <mergeCell ref="H123:I123"/>
    <mergeCell ref="F127:G127"/>
    <mergeCell ref="H127:I127"/>
    <mergeCell ref="F128:G128"/>
    <mergeCell ref="H128:I128"/>
    <mergeCell ref="F129:G129"/>
    <mergeCell ref="H129:I129"/>
    <mergeCell ref="F124:G124"/>
    <mergeCell ref="H124:I124"/>
    <mergeCell ref="F125:G125"/>
    <mergeCell ref="H125:I125"/>
    <mergeCell ref="F126:G126"/>
    <mergeCell ref="H126:I126"/>
    <mergeCell ref="B94:B95"/>
    <mergeCell ref="C94:C95"/>
    <mergeCell ref="D94:D95"/>
    <mergeCell ref="F94:I94"/>
    <mergeCell ref="C68:C69"/>
    <mergeCell ref="D68:D69"/>
    <mergeCell ref="C120:C121"/>
    <mergeCell ref="D120:D121"/>
    <mergeCell ref="E120:E121"/>
    <mergeCell ref="B67:I67"/>
    <mergeCell ref="B133:I133"/>
    <mergeCell ref="F130:G130"/>
    <mergeCell ref="H130:I130"/>
    <mergeCell ref="F131:G131"/>
    <mergeCell ref="H131:I131"/>
    <mergeCell ref="F132:G132"/>
    <mergeCell ref="H132:I132"/>
    <mergeCell ref="B120:B121"/>
    <mergeCell ref="F120:I120"/>
    <mergeCell ref="F116:G116"/>
    <mergeCell ref="H116:I116"/>
    <mergeCell ref="F117:G117"/>
    <mergeCell ref="H117:I117"/>
    <mergeCell ref="F118:G118"/>
    <mergeCell ref="H118:I118"/>
    <mergeCell ref="F76:G76"/>
    <mergeCell ref="H76:I76"/>
    <mergeCell ref="C70:C80"/>
  </mergeCells>
  <hyperlinks>
    <hyperlink ref="F8" r:id="rId1" xr:uid="{5669E277-B7AD-4460-93C3-45A851AD7029}"/>
    <hyperlink ref="F10" r:id="rId2" xr:uid="{34A6DD1A-3F24-4AC9-B800-F3687302155E}"/>
    <hyperlink ref="F11" r:id="rId3" xr:uid="{EAA729DC-B349-436E-AD7E-3A8FDDF6E1AB}"/>
    <hyperlink ref="F9" r:id="rId4" xr:uid="{E162ED28-CAD6-4E34-B026-2BD993F9DB2E}"/>
  </hyperlinks>
  <printOptions horizontalCentered="1"/>
  <pageMargins left="0.19685039370078741" right="0.19685039370078741" top="0.19685039370078741" bottom="0.19685039370078741" header="0" footer="0"/>
  <pageSetup paperSize="9" scale="69" fitToHeight="3" orientation="portrait" horizontalDpi="360" verticalDpi="360" r:id="rId5"/>
  <rowBreaks count="2" manualBreakCount="2">
    <brk id="67" min="1" max="8" man="1"/>
    <brk id="133" min="1" max="8" man="1"/>
  </rowBreak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 BFV Pricelist</vt:lpstr>
      <vt:lpstr>'Al BFV Pricelist'!Print_Area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Anantpurkar</dc:creator>
  <cp:lastModifiedBy>Amol Anantpurkar</cp:lastModifiedBy>
  <cp:lastPrinted>2022-01-14T06:49:36Z</cp:lastPrinted>
  <dcterms:created xsi:type="dcterms:W3CDTF">2015-06-05T18:17:20Z</dcterms:created>
  <dcterms:modified xsi:type="dcterms:W3CDTF">2022-08-23T07:49:57Z</dcterms:modified>
</cp:coreProperties>
</file>